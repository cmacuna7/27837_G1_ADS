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bner\Desktop\Github\27837_G1_ADS\PREGAME\1. ELICITACIÓN\1.6 Backlog\"/>
    </mc:Choice>
  </mc:AlternateContent>
  <xr:revisionPtr revIDLastSave="0" documentId="13_ncr:1_{A270AE28-CA2E-473F-B8D1-A90948B8617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acklog" sheetId="1" r:id="rId1"/>
    <sheet name="sprint0" sheetId="2" r:id="rId2"/>
    <sheet name="burdonchart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oWtFQ1tWv0Sg2ONoGucA39mJyVyp+tZEzqkOZStHocs="/>
    </ext>
  </extLst>
</workbook>
</file>

<file path=xl/calcChain.xml><?xml version="1.0" encoding="utf-8"?>
<calcChain xmlns="http://schemas.openxmlformats.org/spreadsheetml/2006/main">
  <c r="D10" i="3" l="1"/>
  <c r="C10" i="3"/>
  <c r="C11" i="3" l="1"/>
  <c r="D11" i="3" s="1"/>
  <c r="E11" i="3" s="1"/>
  <c r="F11" i="3" s="1"/>
  <c r="G11" i="3" s="1"/>
  <c r="H11" i="3" s="1"/>
  <c r="E10" i="3"/>
  <c r="F10" i="3" s="1"/>
  <c r="G10" i="3" s="1"/>
  <c r="H10" i="3" s="1"/>
  <c r="I5" i="3"/>
  <c r="I4" i="3"/>
</calcChain>
</file>

<file path=xl/sharedStrings.xml><?xml version="1.0" encoding="utf-8"?>
<sst xmlns="http://schemas.openxmlformats.org/spreadsheetml/2006/main" count="210" uniqueCount="103">
  <si>
    <t>Tema</t>
  </si>
  <si>
    <t>Como un..</t>
  </si>
  <si>
    <t>necesito</t>
  </si>
  <si>
    <t>asi podre...</t>
  </si>
  <si>
    <t>notas</t>
  </si>
  <si>
    <t>prioridad</t>
  </si>
  <si>
    <t>estatus</t>
  </si>
  <si>
    <t>Alta</t>
  </si>
  <si>
    <t>ID</t>
  </si>
  <si>
    <t>Necesito</t>
  </si>
  <si>
    <t>así podre...</t>
  </si>
  <si>
    <t>encargado</t>
  </si>
  <si>
    <t>Prioridad</t>
  </si>
  <si>
    <t>Status</t>
  </si>
  <si>
    <t>Estimado</t>
  </si>
  <si>
    <t>Dia 5</t>
  </si>
  <si>
    <t>Dia 4</t>
  </si>
  <si>
    <t>Dia 3</t>
  </si>
  <si>
    <t>Dia 2</t>
  </si>
  <si>
    <t>Dia 1</t>
  </si>
  <si>
    <t>Total de Horas</t>
  </si>
  <si>
    <t>REQ001-1</t>
  </si>
  <si>
    <t>REQ001-2</t>
  </si>
  <si>
    <t>Horas Estimadas</t>
  </si>
  <si>
    <t>Horas Estimadas
Restantes</t>
  </si>
  <si>
    <t>Durante el proceso de desarrollo del producto software,CONCLUSION DEL ESFUERZO CALCULADO</t>
  </si>
  <si>
    <t>RF01-A</t>
  </si>
  <si>
    <t>Crear medicamento</t>
  </si>
  <si>
    <t>Usuario / Cuidador</t>
  </si>
  <si>
    <t>Registrar un nuevo medicamento con sus datos completos</t>
  </si>
  <si>
    <t>Mantener control inicial del tratamiento</t>
  </si>
  <si>
    <t>No Iniciado</t>
  </si>
  <si>
    <t>RF01-B</t>
  </si>
  <si>
    <t>Consultar medicamentos</t>
  </si>
  <si>
    <t>Visualizar la lista completa de medicamentos registrados</t>
  </si>
  <si>
    <t>Revisar rápidamente dosis, frecuencia y próximos horarios</t>
  </si>
  <si>
    <t>RF01-C</t>
  </si>
  <si>
    <t>Actualizar medicamento</t>
  </si>
  <si>
    <t>Editar los datos de un medicamento existente</t>
  </si>
  <si>
    <t>Mantener información actualizada y evitar confusiones</t>
  </si>
  <si>
    <t>RF01-D</t>
  </si>
  <si>
    <t>Eliminar medicamento</t>
  </si>
  <si>
    <t>Borrar un medicamento registrado</t>
  </si>
  <si>
    <t>Evitar acumulación y confusión en la lista de medicamentos</t>
  </si>
  <si>
    <t>RF02</t>
  </si>
  <si>
    <t>Recordatorios de medicación</t>
  </si>
  <si>
    <t>Recibir alertas de hora de toma</t>
  </si>
  <si>
    <t>Cumplir el tratamiento sin olvidos</t>
  </si>
  <si>
    <t>Visualizar la lista completa de medicamentos</t>
  </si>
  <si>
    <t>Recibir alertas de toma</t>
  </si>
  <si>
    <t>así podré…</t>
  </si>
  <si>
    <t>Mantener control del tratamiento desde el inicio</t>
  </si>
  <si>
    <t>Marcelo Acuña</t>
  </si>
  <si>
    <t>Revisar dosis, frecuencias y horarios</t>
  </si>
  <si>
    <t>Abner Arboleda</t>
  </si>
  <si>
    <t>Mantener información actualizada</t>
  </si>
  <si>
    <t>Christian Bonifaz</t>
  </si>
  <si>
    <t>Evitar confusiones eliminando datos obsoletos</t>
  </si>
  <si>
    <t>Evitar olvidos y mantener adherencia al tratamiento</t>
  </si>
  <si>
    <t>Tareas</t>
  </si>
  <si>
    <t>Asignado</t>
  </si>
  <si>
    <t>RF01-A – Crear medicamento</t>
  </si>
  <si>
    <t>Registrar un nuevo medicamento con todos sus datos</t>
  </si>
  <si>
    <t>Iniciar la gestión del tratamiento</t>
  </si>
  <si>
    <t>RF01-A-1</t>
  </si>
  <si>
    <t>RF01-A-2</t>
  </si>
  <si>
    <t>RF01-A-3</t>
  </si>
  <si>
    <t>RF01-A-4</t>
  </si>
  <si>
    <t>Maquetar formulario de registro de medicamentos</t>
  </si>
  <si>
    <t>Implementar validación de campos obligatorios</t>
  </si>
  <si>
    <t>Guardar medicamento en la base de datos</t>
  </si>
  <si>
    <t>Mostrar mensaje de confirmación al registrar</t>
  </si>
  <si>
    <t>Ver la lista completa de medicamentos registrados</t>
  </si>
  <si>
    <t>Revisar dosis, horarios y frecuencia</t>
  </si>
  <si>
    <t>RF01-B-1</t>
  </si>
  <si>
    <t>RF01-B-2</t>
  </si>
  <si>
    <t>RF01-B-3</t>
  </si>
  <si>
    <t>Crear interfaz de listado de medicamentos</t>
  </si>
  <si>
    <t>Mostrar detalles: nombre, dosis, frecuencia, ícono</t>
  </si>
  <si>
    <t>Configurar actualización dinámica del listado</t>
  </si>
  <si>
    <t>Editar medicamento</t>
  </si>
  <si>
    <t>Modificar datos de un medicamento existente</t>
  </si>
  <si>
    <t>Mantener la información actualizada</t>
  </si>
  <si>
    <t>RF01-C-1</t>
  </si>
  <si>
    <t>RF01-C-2</t>
  </si>
  <si>
    <t>RF01-C-3</t>
  </si>
  <si>
    <t>Crear formulario de edición</t>
  </si>
  <si>
    <t>Cargar datos del medicamento seleccionado</t>
  </si>
  <si>
    <t>Implementar actualización en la base de datos</t>
  </si>
  <si>
    <t>Evitar confusiones con medicamentos obsoletos</t>
  </si>
  <si>
    <t>RF01-D-1</t>
  </si>
  <si>
    <t>RF01-D-2</t>
  </si>
  <si>
    <t>RF01-D-3</t>
  </si>
  <si>
    <t>Agregar botón de eliminación</t>
  </si>
  <si>
    <t>Confirmación de eliminación (modal o alerta)</t>
  </si>
  <si>
    <t>Eliminar el registro de la base</t>
  </si>
  <si>
    <t>RF02-1</t>
  </si>
  <si>
    <t>RF02-2</t>
  </si>
  <si>
    <t>RF02-3</t>
  </si>
  <si>
    <t>Recibir alertas en los horarios programados</t>
  </si>
  <si>
    <t>Crear módulo de programación de recordatorios</t>
  </si>
  <si>
    <t>Implementar notificaciones (visual/sonora)</t>
  </si>
  <si>
    <r>
      <t xml:space="preserve">Registrar evento de toma: </t>
    </r>
    <r>
      <rPr>
        <i/>
        <sz val="10"/>
        <color rgb="FF000000"/>
        <rFont val="Arial"/>
        <family val="2"/>
        <scheme val="minor"/>
      </rPr>
      <t>tomado/omitido/pospuesto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</si>
</sst>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10"/>
      <color rgb="FF000000"/>
      <name val="Arial"/>
      <scheme val="minor"/>
    </font>
    <font>
      <b/>
      <sz val="12"/>
      <color rgb="FFFF0000"/>
      <name val="Arial"/>
    </font>
    <font>
      <sz val="12"/>
      <color rgb="FFFF0000"/>
      <name val="Arial"/>
    </font>
    <font>
      <sz val="10"/>
      <color rgb="FF2F5496"/>
      <name val="Arial"/>
    </font>
    <font>
      <sz val="10"/>
      <color rgb="FF0000FF"/>
      <name val="Arial"/>
    </font>
    <font>
      <sz val="10"/>
      <color rgb="FF0000FF"/>
      <name val="Roboto"/>
    </font>
    <font>
      <sz val="10"/>
      <color theme="1"/>
      <name val="Arial"/>
    </font>
    <font>
      <b/>
      <sz val="10"/>
      <color theme="1"/>
      <name val="Arial"/>
    </font>
    <font>
      <b/>
      <sz val="10"/>
      <color theme="1"/>
      <name val="Arial"/>
      <family val="2"/>
    </font>
    <font>
      <sz val="10"/>
      <color rgb="FF0070C0"/>
      <name val="Arial"/>
      <family val="2"/>
    </font>
    <font>
      <sz val="10"/>
      <color rgb="FF0070C0"/>
      <name val="Arial"/>
      <family val="2"/>
      <scheme val="minor"/>
    </font>
    <font>
      <sz val="10"/>
      <color theme="4" tint="-0.249977111117893"/>
      <name val="Arial"/>
      <family val="2"/>
    </font>
    <font>
      <b/>
      <sz val="10"/>
      <color theme="4" tint="-0.249977111117893"/>
      <name val="Arial"/>
      <family val="2"/>
    </font>
    <font>
      <sz val="10"/>
      <color theme="4" tint="-0.249977111117893"/>
      <name val="Arial"/>
      <family val="2"/>
      <scheme val="minor"/>
    </font>
    <font>
      <sz val="8"/>
      <name val="Arial"/>
      <scheme val="minor"/>
    </font>
    <font>
      <i/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1" fillId="0" borderId="1" xfId="0" applyFont="1" applyBorder="1" applyAlignment="1">
      <alignment horizontal="center" wrapText="1"/>
    </xf>
    <xf numFmtId="0" fontId="2" fillId="0" borderId="0" xfId="0" applyFont="1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3" fillId="0" borderId="0" xfId="0" applyFont="1"/>
    <xf numFmtId="0" fontId="5" fillId="2" borderId="1" xfId="0" applyFont="1" applyFill="1" applyBorder="1" applyAlignment="1">
      <alignment wrapText="1"/>
    </xf>
    <xf numFmtId="0" fontId="7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right"/>
    </xf>
    <xf numFmtId="0" fontId="4" fillId="0" borderId="0" xfId="0" applyFont="1"/>
    <xf numFmtId="0" fontId="6" fillId="3" borderId="2" xfId="0" applyFont="1" applyFill="1" applyBorder="1" applyAlignment="1">
      <alignment horizontal="right"/>
    </xf>
    <xf numFmtId="0" fontId="6" fillId="0" borderId="0" xfId="0" applyFont="1" applyAlignment="1">
      <alignment horizontal="right"/>
    </xf>
    <xf numFmtId="0" fontId="6" fillId="4" borderId="2" xfId="0" applyFont="1" applyFill="1" applyBorder="1" applyAlignment="1">
      <alignment horizontal="right"/>
    </xf>
    <xf numFmtId="0" fontId="6" fillId="5" borderId="2" xfId="0" applyFont="1" applyFill="1" applyBorder="1"/>
    <xf numFmtId="0" fontId="0" fillId="0" borderId="0" xfId="0" applyFont="1" applyAlignment="1"/>
    <xf numFmtId="0" fontId="0" fillId="0" borderId="0" xfId="0" applyFont="1" applyAlignment="1">
      <alignment wrapText="1"/>
    </xf>
    <xf numFmtId="0" fontId="4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2" borderId="1" xfId="0" applyFont="1" applyFill="1" applyBorder="1" applyAlignment="1">
      <alignment vertical="center" wrapText="1"/>
    </xf>
    <xf numFmtId="0" fontId="0" fillId="0" borderId="0" xfId="0" applyFont="1" applyAlignment="1">
      <alignment vertical="center" wrapText="1"/>
    </xf>
    <xf numFmtId="0" fontId="4" fillId="0" borderId="1" xfId="0" applyFont="1" applyBorder="1" applyAlignment="1"/>
    <xf numFmtId="0" fontId="8" fillId="0" borderId="0" xfId="0" applyFont="1" applyAlignment="1">
      <alignment horizont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1" fillId="0" borderId="0" xfId="0" applyFont="1" applyAlignment="1">
      <alignment horizontal="right"/>
    </xf>
    <xf numFmtId="0" fontId="13" fillId="0" borderId="0" xfId="0" applyFont="1" applyAlignment="1">
      <alignment horizontal="left"/>
    </xf>
    <xf numFmtId="0" fontId="0" fillId="0" borderId="0" xfId="0"/>
    <xf numFmtId="0" fontId="13" fillId="0" borderId="0" xfId="0" applyFont="1" applyAlignment="1">
      <alignment wrapText="1"/>
    </xf>
    <xf numFmtId="0" fontId="9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0" fillId="0" borderId="0" xfId="0" applyFont="1" applyAlignment="1"/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0.13054470691163605"/>
          <c:y val="5.7502246181491468E-2"/>
          <c:w val="0.869455293088364"/>
          <c:h val="0.78993880481920897"/>
        </c:manualLayout>
      </c:layout>
      <c:lineChart>
        <c:grouping val="standard"/>
        <c:varyColors val="1"/>
        <c:ser>
          <c:idx val="0"/>
          <c:order val="0"/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burdonchart!$B$10:$H$10</c:f>
              <c:numCache>
                <c:formatCode>General</c:formatCode>
                <c:ptCount val="7"/>
                <c:pt idx="0">
                  <c:v>0</c:v>
                </c:pt>
                <c:pt idx="1">
                  <c:v>9</c:v>
                </c:pt>
                <c:pt idx="2">
                  <c:v>9</c:v>
                </c:pt>
                <c:pt idx="3">
                  <c:v>7</c:v>
                </c:pt>
                <c:pt idx="4">
                  <c:v>4</c:v>
                </c:pt>
                <c:pt idx="5">
                  <c:v>3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62-431B-AAF3-0E0A82C758EF}"/>
            </c:ext>
          </c:extLst>
        </c:ser>
        <c:ser>
          <c:idx val="1"/>
          <c:order val="1"/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burdonchart!$B$11:$H$11</c:f>
              <c:numCache>
                <c:formatCode>General</c:formatCode>
                <c:ptCount val="7"/>
                <c:pt idx="0">
                  <c:v>0</c:v>
                </c:pt>
                <c:pt idx="1">
                  <c:v>9</c:v>
                </c:pt>
                <c:pt idx="2">
                  <c:v>7.2</c:v>
                </c:pt>
                <c:pt idx="3">
                  <c:v>5.4</c:v>
                </c:pt>
                <c:pt idx="4">
                  <c:v>3.6000000000000005</c:v>
                </c:pt>
                <c:pt idx="5">
                  <c:v>1.8000000000000005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62-431B-AAF3-0E0A82C75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8306622"/>
        <c:axId val="802544006"/>
      </c:lineChart>
      <c:catAx>
        <c:axId val="3583066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C"/>
          </a:p>
        </c:txPr>
        <c:crossAx val="802544006"/>
        <c:crosses val="autoZero"/>
        <c:auto val="1"/>
        <c:lblAlgn val="ctr"/>
        <c:lblOffset val="100"/>
        <c:noMultiLvlLbl val="1"/>
      </c:catAx>
      <c:valAx>
        <c:axId val="8025440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C"/>
          </a:p>
        </c:txPr>
        <c:crossAx val="35830662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161925</xdr:colOff>
      <xdr:row>8</xdr:row>
      <xdr:rowOff>142875</xdr:rowOff>
    </xdr:from>
    <xdr:ext cx="5715000" cy="3533775"/>
    <xdr:graphicFrame macro="">
      <xdr:nvGraphicFramePr>
        <xdr:cNvPr id="362873004" name="Chart 1" title="Gráfico">
          <a:extLst>
            <a:ext uri="{FF2B5EF4-FFF2-40B4-BE49-F238E27FC236}">
              <a16:creationId xmlns:a16="http://schemas.microsoft.com/office/drawing/2014/main" id="{00000000-0008-0000-0200-0000AC00A1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I4:I5" headerRowCount="0">
  <tableColumns count="1">
    <tableColumn id="1" xr3:uid="{00000000-0010-0000-0000-000001000000}" name="Column1"/>
  </tableColumns>
  <tableStyleInfo name="burdonchar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86"/>
  <sheetViews>
    <sheetView workbookViewId="0">
      <selection activeCell="E14" sqref="E14"/>
    </sheetView>
  </sheetViews>
  <sheetFormatPr baseColWidth="10" defaultColWidth="12.5546875" defaultRowHeight="15" customHeight="1" x14ac:dyDescent="0.25"/>
  <cols>
    <col min="1" max="1" width="12.44140625" customWidth="1"/>
    <col min="2" max="2" width="30.33203125" customWidth="1"/>
    <col min="3" max="3" width="36" customWidth="1"/>
    <col min="4" max="4" width="41.44140625" customWidth="1"/>
    <col min="5" max="5" width="54.44140625" customWidth="1"/>
    <col min="6" max="26" width="12.44140625" customWidth="1"/>
  </cols>
  <sheetData>
    <row r="1" spans="1:26" ht="15.75" customHeight="1" x14ac:dyDescent="0.3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s="16" customFormat="1" ht="26.4" x14ac:dyDescent="0.25">
      <c r="A2" s="3" t="s">
        <v>26</v>
      </c>
      <c r="B2" s="4" t="s">
        <v>27</v>
      </c>
      <c r="C2" s="17" t="s">
        <v>28</v>
      </c>
      <c r="D2" s="17" t="s">
        <v>29</v>
      </c>
      <c r="E2" s="17" t="s">
        <v>30</v>
      </c>
      <c r="F2" s="17"/>
      <c r="G2" s="17" t="s">
        <v>7</v>
      </c>
      <c r="H2" s="17" t="s">
        <v>31</v>
      </c>
    </row>
    <row r="3" spans="1:26" ht="26.4" x14ac:dyDescent="0.25">
      <c r="A3" s="3" t="s">
        <v>32</v>
      </c>
      <c r="B3" s="4" t="s">
        <v>33</v>
      </c>
      <c r="C3" s="17" t="s">
        <v>28</v>
      </c>
      <c r="D3" s="20" t="s">
        <v>34</v>
      </c>
      <c r="E3" s="17" t="s">
        <v>35</v>
      </c>
      <c r="F3" s="17"/>
      <c r="G3" s="17" t="s">
        <v>7</v>
      </c>
      <c r="H3" s="17" t="s">
        <v>31</v>
      </c>
    </row>
    <row r="4" spans="1:26" ht="13.2" x14ac:dyDescent="0.25">
      <c r="A4" s="3" t="s">
        <v>36</v>
      </c>
      <c r="B4" s="4" t="s">
        <v>37</v>
      </c>
      <c r="C4" s="17" t="s">
        <v>28</v>
      </c>
      <c r="D4" s="19" t="s">
        <v>38</v>
      </c>
      <c r="E4" s="17" t="s">
        <v>39</v>
      </c>
      <c r="F4" s="17"/>
      <c r="G4" s="17" t="s">
        <v>7</v>
      </c>
      <c r="H4" s="17" t="s">
        <v>31</v>
      </c>
    </row>
    <row r="5" spans="1:26" ht="13.2" x14ac:dyDescent="0.25">
      <c r="A5" s="3" t="s">
        <v>40</v>
      </c>
      <c r="B5" s="4" t="s">
        <v>41</v>
      </c>
      <c r="C5" s="17" t="s">
        <v>28</v>
      </c>
      <c r="D5" s="18" t="s">
        <v>42</v>
      </c>
      <c r="E5" s="17" t="s">
        <v>43</v>
      </c>
      <c r="F5" s="17"/>
      <c r="G5" s="17" t="s">
        <v>7</v>
      </c>
      <c r="H5" s="17" t="s">
        <v>31</v>
      </c>
    </row>
    <row r="6" spans="1:26" ht="15.75" customHeight="1" x14ac:dyDescent="0.25">
      <c r="A6" s="3" t="s">
        <v>44</v>
      </c>
      <c r="B6" s="4" t="s">
        <v>45</v>
      </c>
      <c r="C6" s="17" t="s">
        <v>28</v>
      </c>
      <c r="D6" s="19" t="s">
        <v>46</v>
      </c>
      <c r="E6" s="17" t="s">
        <v>47</v>
      </c>
      <c r="F6" s="17"/>
      <c r="G6" s="17" t="s">
        <v>7</v>
      </c>
      <c r="H6" s="17" t="s">
        <v>31</v>
      </c>
    </row>
    <row r="7" spans="1:26" ht="15.75" customHeight="1" x14ac:dyDescent="0.25"/>
    <row r="8" spans="1:26" ht="15.75" customHeight="1" x14ac:dyDescent="0.25"/>
    <row r="9" spans="1:26" ht="15.75" customHeight="1" x14ac:dyDescent="0.25"/>
    <row r="10" spans="1:26" ht="15.75" customHeight="1" x14ac:dyDescent="0.25"/>
    <row r="11" spans="1:26" ht="15.75" customHeight="1" x14ac:dyDescent="0.25"/>
    <row r="12" spans="1:26" ht="15.75" customHeight="1" x14ac:dyDescent="0.25"/>
    <row r="13" spans="1:26" ht="15.75" customHeight="1" x14ac:dyDescent="0.25"/>
    <row r="14" spans="1:26" ht="15.75" customHeight="1" x14ac:dyDescent="0.25"/>
    <row r="15" spans="1:26" ht="15.75" customHeight="1" x14ac:dyDescent="0.25"/>
    <row r="16" spans="1:2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960"/>
  <sheetViews>
    <sheetView tabSelected="1" topLeftCell="A7" zoomScale="70" zoomScaleNormal="70" workbookViewId="0">
      <selection activeCell="C34" sqref="C34"/>
    </sheetView>
  </sheetViews>
  <sheetFormatPr baseColWidth="10" defaultColWidth="12.5546875" defaultRowHeight="15" customHeight="1" x14ac:dyDescent="0.25"/>
  <cols>
    <col min="1" max="2" width="12.44140625" customWidth="1"/>
    <col min="3" max="3" width="71.33203125" bestFit="1" customWidth="1"/>
    <col min="4" max="4" width="17" bestFit="1" customWidth="1"/>
    <col min="5" max="5" width="82" bestFit="1" customWidth="1"/>
    <col min="6" max="6" width="56.109375" customWidth="1"/>
    <col min="7" max="27" width="12.44140625" customWidth="1"/>
  </cols>
  <sheetData>
    <row r="1" spans="1:27" ht="15.75" customHeight="1" x14ac:dyDescent="0.25"/>
    <row r="2" spans="1:27" ht="15.75" customHeight="1" x14ac:dyDescent="0.25"/>
    <row r="3" spans="1:27" ht="15.75" customHeight="1" x14ac:dyDescent="0.25">
      <c r="A3" s="5"/>
      <c r="B3" s="7" t="s">
        <v>8</v>
      </c>
      <c r="C3" s="7" t="s">
        <v>0</v>
      </c>
      <c r="D3" s="7" t="s">
        <v>1</v>
      </c>
      <c r="E3" s="7" t="s">
        <v>9</v>
      </c>
      <c r="F3" s="7" t="s">
        <v>50</v>
      </c>
      <c r="G3" s="7" t="s">
        <v>11</v>
      </c>
      <c r="H3" s="7" t="s">
        <v>4</v>
      </c>
      <c r="I3" s="7" t="s">
        <v>12</v>
      </c>
      <c r="J3" s="7" t="s">
        <v>13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26.4" x14ac:dyDescent="0.25">
      <c r="B4" s="3" t="s">
        <v>26</v>
      </c>
      <c r="C4" s="4" t="s">
        <v>27</v>
      </c>
      <c r="D4" s="4" t="s">
        <v>28</v>
      </c>
      <c r="E4" s="4" t="s">
        <v>29</v>
      </c>
      <c r="F4" s="4" t="s">
        <v>51</v>
      </c>
      <c r="G4" s="4" t="s">
        <v>52</v>
      </c>
      <c r="H4" s="4"/>
      <c r="I4" s="4" t="s">
        <v>7</v>
      </c>
      <c r="J4" s="4" t="s">
        <v>31</v>
      </c>
    </row>
    <row r="5" spans="1:27" ht="26.4" x14ac:dyDescent="0.25">
      <c r="B5" s="3" t="s">
        <v>32</v>
      </c>
      <c r="C5" s="22" t="s">
        <v>33</v>
      </c>
      <c r="D5" s="4" t="s">
        <v>28</v>
      </c>
      <c r="E5" s="6" t="s">
        <v>48</v>
      </c>
      <c r="F5" s="4" t="s">
        <v>53</v>
      </c>
      <c r="G5" s="4" t="s">
        <v>54</v>
      </c>
      <c r="H5" s="4"/>
      <c r="I5" s="4" t="s">
        <v>7</v>
      </c>
      <c r="J5" s="4" t="s">
        <v>31</v>
      </c>
    </row>
    <row r="6" spans="1:27" ht="26.4" x14ac:dyDescent="0.25">
      <c r="B6" s="3" t="s">
        <v>36</v>
      </c>
      <c r="C6" s="22" t="s">
        <v>37</v>
      </c>
      <c r="D6" s="4" t="s">
        <v>28</v>
      </c>
      <c r="E6" s="4" t="s">
        <v>38</v>
      </c>
      <c r="F6" s="4" t="s">
        <v>55</v>
      </c>
      <c r="G6" s="4" t="s">
        <v>56</v>
      </c>
      <c r="H6" s="4"/>
      <c r="I6" s="4" t="s">
        <v>7</v>
      </c>
      <c r="J6" s="4" t="s">
        <v>31</v>
      </c>
    </row>
    <row r="7" spans="1:27" ht="39" customHeight="1" x14ac:dyDescent="0.25">
      <c r="B7" s="3" t="s">
        <v>40</v>
      </c>
      <c r="C7" s="22" t="s">
        <v>41</v>
      </c>
      <c r="D7" s="4" t="s">
        <v>28</v>
      </c>
      <c r="E7" s="6" t="s">
        <v>42</v>
      </c>
      <c r="F7" s="4" t="s">
        <v>57</v>
      </c>
      <c r="G7" s="4" t="s">
        <v>52</v>
      </c>
      <c r="H7" s="4"/>
      <c r="I7" s="4" t="s">
        <v>7</v>
      </c>
      <c r="J7" s="4" t="s">
        <v>31</v>
      </c>
    </row>
    <row r="8" spans="1:27" ht="26.4" x14ac:dyDescent="0.25">
      <c r="B8" s="3" t="s">
        <v>44</v>
      </c>
      <c r="C8" s="22" t="s">
        <v>45</v>
      </c>
      <c r="D8" s="4" t="s">
        <v>28</v>
      </c>
      <c r="E8" s="4" t="s">
        <v>49</v>
      </c>
      <c r="F8" s="4" t="s">
        <v>58</v>
      </c>
      <c r="G8" s="4" t="s">
        <v>54</v>
      </c>
      <c r="H8" s="4"/>
      <c r="I8" s="4" t="s">
        <v>7</v>
      </c>
      <c r="J8" s="4" t="s">
        <v>31</v>
      </c>
    </row>
    <row r="9" spans="1:27" ht="15.75" customHeight="1" x14ac:dyDescent="0.25"/>
    <row r="10" spans="1:27" ht="15.75" customHeight="1" x14ac:dyDescent="0.25"/>
    <row r="11" spans="1:27" ht="15.75" customHeight="1" x14ac:dyDescent="0.25"/>
    <row r="12" spans="1:27" ht="15.75" customHeight="1" x14ac:dyDescent="0.25">
      <c r="B12" s="23" t="s">
        <v>8</v>
      </c>
      <c r="C12" s="23" t="s">
        <v>0</v>
      </c>
      <c r="D12" s="23" t="s">
        <v>1</v>
      </c>
      <c r="E12" s="23" t="s">
        <v>9</v>
      </c>
      <c r="F12" s="23" t="s">
        <v>10</v>
      </c>
      <c r="G12" s="23" t="s">
        <v>4</v>
      </c>
      <c r="H12" s="23" t="s">
        <v>12</v>
      </c>
      <c r="I12" s="23" t="s">
        <v>13</v>
      </c>
    </row>
    <row r="13" spans="1:27" ht="13.2" x14ac:dyDescent="0.25">
      <c r="B13" s="31" t="s">
        <v>26</v>
      </c>
      <c r="C13" s="31" t="s">
        <v>61</v>
      </c>
      <c r="D13" s="31" t="s">
        <v>28</v>
      </c>
      <c r="E13" s="31" t="s">
        <v>62</v>
      </c>
      <c r="F13" s="32" t="s">
        <v>63</v>
      </c>
      <c r="G13" s="33"/>
      <c r="H13" s="31" t="s">
        <v>7</v>
      </c>
      <c r="I13" s="31" t="s">
        <v>31</v>
      </c>
    </row>
    <row r="14" spans="1:27" ht="15.75" customHeight="1" x14ac:dyDescent="0.25">
      <c r="B14" s="24"/>
      <c r="C14" s="25" t="s">
        <v>59</v>
      </c>
      <c r="D14" s="24"/>
      <c r="E14" s="24"/>
      <c r="F14" s="24"/>
      <c r="G14" s="25" t="s">
        <v>60</v>
      </c>
      <c r="H14" s="24"/>
      <c r="I14" s="25" t="s">
        <v>14</v>
      </c>
    </row>
    <row r="15" spans="1:27" ht="15.75" customHeight="1" x14ac:dyDescent="0.25">
      <c r="B15" s="24" t="s">
        <v>64</v>
      </c>
      <c r="C15" s="24" t="s">
        <v>68</v>
      </c>
      <c r="D15" s="26"/>
      <c r="E15" s="26"/>
      <c r="F15" s="26"/>
      <c r="G15" s="24" t="s">
        <v>52</v>
      </c>
      <c r="H15" s="24"/>
      <c r="I15" s="27">
        <v>2</v>
      </c>
    </row>
    <row r="16" spans="1:27" ht="15.75" customHeight="1" x14ac:dyDescent="0.25">
      <c r="B16" s="24" t="s">
        <v>65</v>
      </c>
      <c r="C16" s="24" t="s">
        <v>69</v>
      </c>
      <c r="D16" s="26"/>
      <c r="E16" s="26"/>
      <c r="F16" s="26"/>
      <c r="G16" s="24" t="s">
        <v>52</v>
      </c>
      <c r="H16" s="24"/>
      <c r="I16" s="27">
        <v>2</v>
      </c>
    </row>
    <row r="17" spans="2:9" ht="13.2" x14ac:dyDescent="0.25">
      <c r="B17" s="24" t="s">
        <v>66</v>
      </c>
      <c r="C17" s="24" t="s">
        <v>70</v>
      </c>
      <c r="D17" s="30"/>
      <c r="E17" s="30"/>
      <c r="F17" s="30"/>
      <c r="G17" s="24" t="s">
        <v>52</v>
      </c>
      <c r="H17" s="24"/>
      <c r="I17" s="27">
        <v>3</v>
      </c>
    </row>
    <row r="18" spans="2:9" ht="15.75" customHeight="1" x14ac:dyDescent="0.25">
      <c r="B18" s="24" t="s">
        <v>67</v>
      </c>
      <c r="C18" s="24" t="s">
        <v>71</v>
      </c>
      <c r="D18" s="26"/>
      <c r="E18" s="26"/>
      <c r="F18" s="26"/>
      <c r="G18" s="24" t="s">
        <v>52</v>
      </c>
      <c r="H18" s="24"/>
      <c r="I18" s="27">
        <v>1</v>
      </c>
    </row>
    <row r="19" spans="2:9" ht="15.75" customHeight="1" x14ac:dyDescent="0.25">
      <c r="B19" s="24"/>
      <c r="C19" s="24"/>
      <c r="D19" s="26"/>
      <c r="E19" s="26"/>
      <c r="F19" s="26"/>
      <c r="G19" s="24"/>
      <c r="H19" s="24"/>
      <c r="I19" s="27"/>
    </row>
    <row r="20" spans="2:9" ht="15.75" customHeight="1" x14ac:dyDescent="0.25">
      <c r="B20" s="31" t="s">
        <v>32</v>
      </c>
      <c r="C20" s="31" t="s">
        <v>33</v>
      </c>
      <c r="D20" s="31" t="s">
        <v>28</v>
      </c>
      <c r="E20" s="31" t="s">
        <v>72</v>
      </c>
      <c r="F20" s="32" t="s">
        <v>73</v>
      </c>
      <c r="G20" s="33"/>
      <c r="H20" s="31" t="s">
        <v>7</v>
      </c>
      <c r="I20" s="31" t="s">
        <v>31</v>
      </c>
    </row>
    <row r="21" spans="2:9" ht="15.75" customHeight="1" x14ac:dyDescent="0.25">
      <c r="B21" s="24"/>
      <c r="C21" s="25" t="s">
        <v>59</v>
      </c>
      <c r="D21" s="26"/>
      <c r="E21" s="26"/>
      <c r="F21" s="26"/>
      <c r="G21" s="25" t="s">
        <v>60</v>
      </c>
      <c r="H21" s="26"/>
      <c r="I21" s="27" t="s">
        <v>14</v>
      </c>
    </row>
    <row r="22" spans="2:9" ht="15.75" customHeight="1" x14ac:dyDescent="0.25">
      <c r="B22" s="24" t="s">
        <v>74</v>
      </c>
      <c r="C22" s="24" t="s">
        <v>77</v>
      </c>
      <c r="D22" s="26"/>
      <c r="E22" s="26"/>
      <c r="F22" s="26"/>
      <c r="G22" s="26" t="s">
        <v>54</v>
      </c>
      <c r="H22" s="26"/>
      <c r="I22" s="26">
        <v>2</v>
      </c>
    </row>
    <row r="23" spans="2:9" ht="15.75" customHeight="1" x14ac:dyDescent="0.25">
      <c r="B23" s="24" t="s">
        <v>75</v>
      </c>
      <c r="C23" s="24" t="s">
        <v>78</v>
      </c>
      <c r="D23" s="26"/>
      <c r="E23" s="26"/>
      <c r="F23" s="26"/>
      <c r="G23" s="26" t="s">
        <v>54</v>
      </c>
      <c r="H23" s="26"/>
      <c r="I23" s="26">
        <v>2</v>
      </c>
    </row>
    <row r="24" spans="2:9" ht="15.75" customHeight="1" x14ac:dyDescent="0.25">
      <c r="B24" s="24" t="s">
        <v>76</v>
      </c>
      <c r="C24" s="24" t="s">
        <v>79</v>
      </c>
      <c r="D24" s="26"/>
      <c r="E24" s="26"/>
      <c r="F24" s="26"/>
      <c r="G24" s="26" t="s">
        <v>54</v>
      </c>
      <c r="H24" s="26"/>
      <c r="I24" s="26">
        <v>3</v>
      </c>
    </row>
    <row r="25" spans="2:9" ht="15.75" customHeight="1" x14ac:dyDescent="0.25">
      <c r="B25" s="26"/>
      <c r="D25" s="28"/>
      <c r="E25" s="28"/>
      <c r="F25" s="28"/>
      <c r="G25" s="26"/>
      <c r="H25" s="26"/>
      <c r="I25" s="26"/>
    </row>
    <row r="26" spans="2:9" ht="15.75" customHeight="1" x14ac:dyDescent="0.25">
      <c r="B26" s="31" t="s">
        <v>36</v>
      </c>
      <c r="C26" s="31" t="s">
        <v>80</v>
      </c>
      <c r="D26" s="31" t="s">
        <v>28</v>
      </c>
      <c r="E26" s="31" t="s">
        <v>81</v>
      </c>
      <c r="F26" s="32" t="s">
        <v>82</v>
      </c>
      <c r="G26" s="33"/>
      <c r="H26" s="31" t="s">
        <v>7</v>
      </c>
      <c r="I26" s="31" t="s">
        <v>31</v>
      </c>
    </row>
    <row r="27" spans="2:9" ht="15.75" customHeight="1" x14ac:dyDescent="0.25">
      <c r="B27" s="24"/>
      <c r="C27" s="25" t="s">
        <v>59</v>
      </c>
      <c r="D27" s="26"/>
      <c r="E27" s="26"/>
      <c r="F27" s="26"/>
      <c r="G27" s="25" t="s">
        <v>60</v>
      </c>
      <c r="H27" s="26"/>
      <c r="I27" s="27" t="s">
        <v>14</v>
      </c>
    </row>
    <row r="28" spans="2:9" ht="15.75" customHeight="1" x14ac:dyDescent="0.25">
      <c r="B28" s="24" t="s">
        <v>83</v>
      </c>
      <c r="C28" s="24" t="s">
        <v>86</v>
      </c>
      <c r="D28" s="26"/>
      <c r="E28" s="26"/>
      <c r="F28" s="26"/>
      <c r="G28" s="26" t="s">
        <v>56</v>
      </c>
      <c r="H28" s="26"/>
      <c r="I28" s="26">
        <v>2</v>
      </c>
    </row>
    <row r="29" spans="2:9" ht="15.75" customHeight="1" x14ac:dyDescent="0.25">
      <c r="B29" s="24" t="s">
        <v>84</v>
      </c>
      <c r="C29" s="24" t="s">
        <v>87</v>
      </c>
      <c r="D29" s="29"/>
      <c r="E29" s="29"/>
      <c r="F29" s="29"/>
      <c r="G29" s="26" t="s">
        <v>56</v>
      </c>
      <c r="H29" s="29"/>
      <c r="I29" s="29">
        <v>2</v>
      </c>
    </row>
    <row r="30" spans="2:9" s="15" customFormat="1" ht="15.75" customHeight="1" x14ac:dyDescent="0.25">
      <c r="B30" s="24" t="s">
        <v>85</v>
      </c>
      <c r="C30" s="24" t="s">
        <v>88</v>
      </c>
      <c r="D30" s="29"/>
      <c r="E30" s="29"/>
      <c r="F30" s="29"/>
      <c r="G30" s="26" t="s">
        <v>56</v>
      </c>
      <c r="H30" s="29"/>
      <c r="I30" s="29">
        <v>3</v>
      </c>
    </row>
    <row r="31" spans="2:9" ht="15.75" customHeight="1" x14ac:dyDescent="0.25">
      <c r="B31" s="29"/>
      <c r="C31" s="29"/>
      <c r="D31" s="29"/>
      <c r="E31" s="29"/>
      <c r="F31" s="29"/>
      <c r="G31" s="29"/>
      <c r="H31" s="29"/>
      <c r="I31" s="29"/>
    </row>
    <row r="32" spans="2:9" ht="15.75" customHeight="1" x14ac:dyDescent="0.25">
      <c r="B32" s="31" t="s">
        <v>40</v>
      </c>
      <c r="C32" s="31" t="s">
        <v>41</v>
      </c>
      <c r="D32" s="31" t="s">
        <v>28</v>
      </c>
      <c r="E32" s="31" t="s">
        <v>42</v>
      </c>
      <c r="F32" s="32" t="s">
        <v>89</v>
      </c>
      <c r="G32" s="33"/>
      <c r="H32" s="31" t="s">
        <v>7</v>
      </c>
      <c r="I32" s="31" t="s">
        <v>31</v>
      </c>
    </row>
    <row r="33" spans="2:9" ht="15.75" customHeight="1" x14ac:dyDescent="0.25">
      <c r="B33" s="24"/>
      <c r="C33" s="25" t="s">
        <v>59</v>
      </c>
      <c r="D33" s="26"/>
      <c r="E33" s="26"/>
      <c r="F33" s="26"/>
      <c r="G33" s="25" t="s">
        <v>60</v>
      </c>
      <c r="H33" s="26"/>
      <c r="I33" s="27" t="s">
        <v>14</v>
      </c>
    </row>
    <row r="34" spans="2:9" ht="15.75" customHeight="1" x14ac:dyDescent="0.25">
      <c r="B34" s="24" t="s">
        <v>90</v>
      </c>
      <c r="C34" s="24" t="s">
        <v>93</v>
      </c>
      <c r="D34" s="26"/>
      <c r="E34" s="26"/>
      <c r="F34" s="26"/>
      <c r="G34" s="24" t="s">
        <v>52</v>
      </c>
      <c r="H34" s="26"/>
      <c r="I34" s="26">
        <v>1</v>
      </c>
    </row>
    <row r="35" spans="2:9" ht="15.75" customHeight="1" x14ac:dyDescent="0.25">
      <c r="B35" s="24" t="s">
        <v>91</v>
      </c>
      <c r="C35" s="24" t="s">
        <v>94</v>
      </c>
      <c r="D35" s="29"/>
      <c r="E35" s="29"/>
      <c r="F35" s="29"/>
      <c r="G35" s="24" t="s">
        <v>52</v>
      </c>
      <c r="H35" s="29"/>
      <c r="I35" s="29">
        <v>1</v>
      </c>
    </row>
    <row r="36" spans="2:9" ht="15.75" customHeight="1" x14ac:dyDescent="0.25">
      <c r="B36" s="24" t="s">
        <v>92</v>
      </c>
      <c r="C36" s="24" t="s">
        <v>95</v>
      </c>
      <c r="G36" s="24" t="s">
        <v>52</v>
      </c>
      <c r="I36">
        <v>2</v>
      </c>
    </row>
    <row r="37" spans="2:9" ht="15.75" customHeight="1" x14ac:dyDescent="0.25">
      <c r="C37" s="21"/>
    </row>
    <row r="38" spans="2:9" ht="15.75" customHeight="1" x14ac:dyDescent="0.25">
      <c r="B38" s="31" t="s">
        <v>44</v>
      </c>
      <c r="C38" s="31" t="s">
        <v>45</v>
      </c>
      <c r="D38" s="31" t="s">
        <v>28</v>
      </c>
      <c r="E38" s="31" t="s">
        <v>99</v>
      </c>
      <c r="F38" s="32" t="s">
        <v>47</v>
      </c>
      <c r="G38" s="33"/>
      <c r="H38" s="31" t="s">
        <v>7</v>
      </c>
      <c r="I38" s="31" t="s">
        <v>31</v>
      </c>
    </row>
    <row r="39" spans="2:9" ht="15.75" customHeight="1" x14ac:dyDescent="0.25">
      <c r="B39" s="24"/>
      <c r="C39" s="25" t="s">
        <v>59</v>
      </c>
      <c r="D39" s="26"/>
      <c r="E39" s="26"/>
      <c r="F39" s="26"/>
      <c r="G39" s="25" t="s">
        <v>60</v>
      </c>
      <c r="H39" s="26"/>
      <c r="I39" s="27" t="s">
        <v>14</v>
      </c>
    </row>
    <row r="40" spans="2:9" ht="15.75" customHeight="1" x14ac:dyDescent="0.25">
      <c r="B40" s="24" t="s">
        <v>96</v>
      </c>
      <c r="C40" s="24" t="s">
        <v>100</v>
      </c>
      <c r="D40" s="26"/>
      <c r="E40" s="26"/>
      <c r="F40" s="26"/>
      <c r="G40" s="26" t="s">
        <v>54</v>
      </c>
      <c r="H40" s="26"/>
      <c r="I40" s="26">
        <v>3</v>
      </c>
    </row>
    <row r="41" spans="2:9" ht="15.75" customHeight="1" x14ac:dyDescent="0.25">
      <c r="B41" s="24" t="s">
        <v>97</v>
      </c>
      <c r="C41" s="24" t="s">
        <v>101</v>
      </c>
      <c r="D41" s="29"/>
      <c r="E41" s="29"/>
      <c r="F41" s="29"/>
      <c r="G41" s="26" t="s">
        <v>54</v>
      </c>
      <c r="H41" s="29"/>
      <c r="I41" s="29">
        <v>3</v>
      </c>
    </row>
    <row r="42" spans="2:9" ht="15.75" customHeight="1" x14ac:dyDescent="0.25">
      <c r="B42" s="24" t="s">
        <v>98</v>
      </c>
      <c r="C42" s="24" t="s">
        <v>102</v>
      </c>
      <c r="D42" s="15"/>
      <c r="E42" s="15"/>
      <c r="F42" s="15"/>
      <c r="G42" s="26" t="s">
        <v>54</v>
      </c>
      <c r="H42" s="15"/>
      <c r="I42" s="15">
        <v>4</v>
      </c>
    </row>
    <row r="43" spans="2:9" ht="15.75" customHeight="1" x14ac:dyDescent="0.25">
      <c r="C43" s="21"/>
    </row>
    <row r="44" spans="2:9" ht="15.75" customHeight="1" x14ac:dyDescent="0.25"/>
    <row r="45" spans="2:9" ht="15.75" customHeight="1" x14ac:dyDescent="0.25"/>
    <row r="46" spans="2:9" ht="15.75" customHeight="1" x14ac:dyDescent="0.25"/>
    <row r="47" spans="2:9" ht="15.75" customHeight="1" x14ac:dyDescent="0.25"/>
    <row r="48" spans="2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phoneticPr fontId="14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I985"/>
  <sheetViews>
    <sheetView zoomScale="85" zoomScaleNormal="85" workbookViewId="0">
      <selection activeCell="D10" sqref="D10"/>
    </sheetView>
  </sheetViews>
  <sheetFormatPr baseColWidth="10" defaultColWidth="12.5546875" defaultRowHeight="15" customHeight="1" x14ac:dyDescent="0.25"/>
  <cols>
    <col min="1" max="1" width="12.44140625" customWidth="1"/>
    <col min="2" max="2" width="24.44140625" customWidth="1"/>
    <col min="3" max="26" width="12.44140625" customWidth="1"/>
  </cols>
  <sheetData>
    <row r="1" spans="2:9" ht="15.75" customHeight="1" x14ac:dyDescent="0.25"/>
    <row r="2" spans="2:9" ht="15.75" customHeight="1" x14ac:dyDescent="0.25"/>
    <row r="3" spans="2:9" ht="15.75" customHeight="1" x14ac:dyDescent="0.25">
      <c r="B3" s="8"/>
      <c r="C3" s="8" t="s">
        <v>14</v>
      </c>
      <c r="D3" s="8" t="s">
        <v>15</v>
      </c>
      <c r="E3" s="8" t="s">
        <v>16</v>
      </c>
      <c r="F3" s="8" t="s">
        <v>17</v>
      </c>
      <c r="G3" s="8" t="s">
        <v>18</v>
      </c>
      <c r="H3" s="8" t="s">
        <v>19</v>
      </c>
      <c r="I3" s="8" t="s">
        <v>20</v>
      </c>
    </row>
    <row r="4" spans="2:9" ht="15.75" customHeight="1" x14ac:dyDescent="0.25">
      <c r="B4" s="10" t="s">
        <v>21</v>
      </c>
      <c r="C4" s="11">
        <v>4</v>
      </c>
      <c r="D4" s="12">
        <v>0</v>
      </c>
      <c r="E4" s="9">
        <v>1</v>
      </c>
      <c r="F4" s="9">
        <v>1</v>
      </c>
      <c r="G4" s="9">
        <v>0</v>
      </c>
      <c r="H4" s="12">
        <v>1</v>
      </c>
      <c r="I4" s="13">
        <f t="shared" ref="I4:I5" si="0">SUM(D4:H4)</f>
        <v>3</v>
      </c>
    </row>
    <row r="5" spans="2:9" ht="15.75" customHeight="1" x14ac:dyDescent="0.25">
      <c r="B5" s="10" t="s">
        <v>22</v>
      </c>
      <c r="C5" s="11">
        <v>5</v>
      </c>
      <c r="D5" s="9">
        <v>0</v>
      </c>
      <c r="E5" s="9">
        <v>1</v>
      </c>
      <c r="F5" s="12">
        <v>2</v>
      </c>
      <c r="G5" s="9">
        <v>1</v>
      </c>
      <c r="H5" s="12">
        <v>1</v>
      </c>
      <c r="I5" s="13">
        <f t="shared" si="0"/>
        <v>5</v>
      </c>
    </row>
    <row r="6" spans="2:9" ht="15.75" customHeight="1" x14ac:dyDescent="0.25"/>
    <row r="7" spans="2:9" ht="15.75" customHeight="1" x14ac:dyDescent="0.25"/>
    <row r="8" spans="2:9" ht="15.75" customHeight="1" x14ac:dyDescent="0.25"/>
    <row r="9" spans="2:9" ht="15.75" customHeight="1" x14ac:dyDescent="0.25"/>
    <row r="10" spans="2:9" ht="15.75" customHeight="1" x14ac:dyDescent="0.25">
      <c r="B10" s="14" t="s">
        <v>23</v>
      </c>
      <c r="C10" s="8">
        <f>SUM(C4:C5)</f>
        <v>9</v>
      </c>
      <c r="D10" s="8">
        <f>C10-SUM(D4:D5)</f>
        <v>9</v>
      </c>
      <c r="E10" s="8">
        <f t="shared" ref="E10:H10" si="1">D10-SUM(E4:E5)</f>
        <v>7</v>
      </c>
      <c r="F10" s="8">
        <f t="shared" si="1"/>
        <v>4</v>
      </c>
      <c r="G10" s="8">
        <f t="shared" si="1"/>
        <v>3</v>
      </c>
      <c r="H10" s="8">
        <f t="shared" si="1"/>
        <v>1</v>
      </c>
    </row>
    <row r="11" spans="2:9" ht="15.75" customHeight="1" x14ac:dyDescent="0.25">
      <c r="B11" s="14" t="s">
        <v>24</v>
      </c>
      <c r="C11" s="8">
        <f>SUM(C4:C5)</f>
        <v>9</v>
      </c>
      <c r="D11" s="8">
        <f>C11-(SUM(C4:C5)/5)</f>
        <v>7.2</v>
      </c>
      <c r="E11" s="8">
        <f>D11-(SUM(C4:C5)/5)</f>
        <v>5.4</v>
      </c>
      <c r="F11" s="8">
        <f>E11-(SUM(C4:C5)/5)</f>
        <v>3.6000000000000005</v>
      </c>
      <c r="G11" s="8">
        <f>F11-(SUM(C4:C5)/5)</f>
        <v>1.8000000000000005</v>
      </c>
      <c r="H11" s="8">
        <f>G11-(SUM(C4:C5)/5)</f>
        <v>0</v>
      </c>
    </row>
    <row r="12" spans="2:9" ht="15.75" customHeight="1" x14ac:dyDescent="0.25"/>
    <row r="13" spans="2:9" ht="15.75" customHeight="1" x14ac:dyDescent="0.25"/>
    <row r="14" spans="2:9" ht="15.75" customHeight="1" x14ac:dyDescent="0.25"/>
    <row r="15" spans="2:9" ht="15.75" customHeight="1" x14ac:dyDescent="0.25">
      <c r="B15" s="34" t="s">
        <v>25</v>
      </c>
      <c r="C15" s="35"/>
      <c r="D15" s="35"/>
      <c r="E15" s="35"/>
      <c r="F15" s="35"/>
      <c r="G15" s="35"/>
    </row>
    <row r="16" spans="2:9" ht="15.75" customHeight="1" x14ac:dyDescent="0.25">
      <c r="B16" s="35"/>
      <c r="C16" s="35"/>
      <c r="D16" s="35"/>
      <c r="E16" s="35"/>
      <c r="F16" s="35"/>
      <c r="G16" s="35"/>
    </row>
    <row r="17" spans="2:7" ht="15.75" customHeight="1" x14ac:dyDescent="0.25">
      <c r="B17" s="35"/>
      <c r="C17" s="35"/>
      <c r="D17" s="35"/>
      <c r="E17" s="35"/>
      <c r="F17" s="35"/>
      <c r="G17" s="35"/>
    </row>
    <row r="18" spans="2:7" ht="15.75" customHeight="1" x14ac:dyDescent="0.25">
      <c r="B18" s="35"/>
      <c r="C18" s="35"/>
      <c r="D18" s="35"/>
      <c r="E18" s="35"/>
      <c r="F18" s="35"/>
      <c r="G18" s="35"/>
    </row>
    <row r="19" spans="2:7" ht="15.75" customHeight="1" x14ac:dyDescent="0.25">
      <c r="B19" s="35"/>
      <c r="C19" s="35"/>
      <c r="D19" s="35"/>
      <c r="E19" s="35"/>
      <c r="F19" s="35"/>
      <c r="G19" s="35"/>
    </row>
    <row r="20" spans="2:7" ht="15.75" customHeight="1" x14ac:dyDescent="0.25">
      <c r="B20" s="35"/>
      <c r="C20" s="35"/>
      <c r="D20" s="35"/>
      <c r="E20" s="35"/>
      <c r="F20" s="35"/>
      <c r="G20" s="35"/>
    </row>
    <row r="21" spans="2:7" ht="15.75" customHeight="1" x14ac:dyDescent="0.25">
      <c r="B21" s="35"/>
      <c r="C21" s="35"/>
      <c r="D21" s="35"/>
      <c r="E21" s="35"/>
      <c r="F21" s="35"/>
      <c r="G21" s="35"/>
    </row>
    <row r="22" spans="2:7" ht="15.75" customHeight="1" x14ac:dyDescent="0.25">
      <c r="B22" s="35"/>
      <c r="C22" s="35"/>
      <c r="D22" s="35"/>
      <c r="E22" s="35"/>
      <c r="F22" s="35"/>
      <c r="G22" s="35"/>
    </row>
    <row r="23" spans="2:7" ht="15.75" customHeight="1" x14ac:dyDescent="0.25"/>
    <row r="24" spans="2:7" ht="15.75" customHeight="1" x14ac:dyDescent="0.25"/>
    <row r="25" spans="2:7" ht="15.75" customHeight="1" x14ac:dyDescent="0.25"/>
    <row r="26" spans="2:7" ht="15.75" customHeight="1" x14ac:dyDescent="0.25"/>
    <row r="27" spans="2:7" ht="15.75" customHeight="1" x14ac:dyDescent="0.25"/>
    <row r="28" spans="2:7" ht="15.75" customHeight="1" x14ac:dyDescent="0.25"/>
    <row r="29" spans="2:7" ht="15.75" customHeight="1" x14ac:dyDescent="0.25"/>
    <row r="30" spans="2:7" ht="15.75" customHeight="1" x14ac:dyDescent="0.25"/>
    <row r="31" spans="2:7" ht="15.75" customHeight="1" x14ac:dyDescent="0.25"/>
    <row r="32" spans="2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</sheetData>
  <mergeCells count="1">
    <mergeCell ref="B15:G22"/>
  </mergeCells>
  <pageMargins left="0.7" right="0.7" top="0.75" bottom="0.75" header="0" footer="0"/>
  <pageSetup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sprint0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ABNER DAVID ARBOLEDA ROMAN</cp:lastModifiedBy>
  <dcterms:created xsi:type="dcterms:W3CDTF">2023-06-05T13:12:31Z</dcterms:created>
  <dcterms:modified xsi:type="dcterms:W3CDTF">2025-12-07T02:07:22Z</dcterms:modified>
</cp:coreProperties>
</file>