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Unidad 2\"/>
    </mc:Choice>
  </mc:AlternateContent>
  <xr:revisionPtr revIDLastSave="0" documentId="13_ncr:1_{5F860B40-F93B-4002-893D-CBAD50CD37B8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D10" i="3" l="1"/>
  <c r="C10" i="3"/>
  <c r="C11" i="3" l="1"/>
  <c r="D11" i="3" s="1"/>
  <c r="E11" i="3" s="1"/>
  <c r="F11" i="3" s="1"/>
  <c r="G11" i="3" s="1"/>
  <c r="H11" i="3" s="1"/>
  <c r="E10" i="3"/>
  <c r="F10" i="3" s="1"/>
  <c r="G10" i="3" s="1"/>
  <c r="H10" i="3" s="1"/>
  <c r="I5" i="3"/>
  <c r="I4" i="3"/>
</calcChain>
</file>

<file path=xl/sharedStrings.xml><?xml version="1.0" encoding="utf-8"?>
<sst xmlns="http://schemas.openxmlformats.org/spreadsheetml/2006/main" count="210" uniqueCount="103">
  <si>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</si>
  <si>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</si>
  <si>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</si>
  <si>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</si>
  <si>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</si>
  <si>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</si>
  <si>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</si>
  <si>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</si>
  <si>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</si>
  <si>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</si>
  <si>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</si>
  <si>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encargado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</si>
  <si>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</si>
  <si>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</si>
  <si>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</si>
  <si>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</si>
  <si>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</si>
  <si>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</si>
  <si>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</si>
  <si>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</si>
  <si>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</si>
  <si>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</si>
  <si>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</si>
  <si>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</si>
  <si>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</si>
  <si>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</si>
  <si>
    <t>RF01-A</t>
  </si>
  <si>
    <t>Crear medicamento</t>
  </si>
  <si>
    <t>Usuario / Cuidador</t>
  </si>
  <si>
    <t>Registrar un nuevo medicamento con sus datos completos</t>
  </si>
  <si>
    <t>Mantener control inicial del tratamiento</t>
  </si>
  <si>
    <t>No Iniciado</t>
  </si>
  <si>
    <t>RF01-B</t>
  </si>
  <si>
    <t>Consultar medicamentos</t>
  </si>
  <si>
    <t>Visualizar la lista completa de medicamentos registrados</t>
  </si>
  <si>
    <t>Revisar rápidamente dosis, frecuencia y próximos horarios</t>
  </si>
  <si>
    <t>RF01-C</t>
  </si>
  <si>
    <t>Actualizar medicamento</t>
  </si>
  <si>
    <t>Editar los datos de un medicamento existente</t>
  </si>
  <si>
    <t>Mantener información actualizada y evitar confusiones</t>
  </si>
  <si>
    <t>RF01-D</t>
  </si>
  <si>
    <t>Eliminar medicamento</t>
  </si>
  <si>
    <t>Borrar un medicamento registrado</t>
  </si>
  <si>
    <t>Evitar acumulación y confusión en la lista de medicamentos</t>
  </si>
  <si>
    <t>RF02</t>
  </si>
  <si>
    <t>Recordatorios de medicación</t>
  </si>
  <si>
    <t>Recibir alertas de hora de toma</t>
  </si>
  <si>
    <t>Cumplir el tratamiento sin olvidos</t>
  </si>
  <si>
    <t>Visualizar la lista completa de medicamentos</t>
  </si>
  <si>
    <t>Recibir alertas de toma</t>
  </si>
  <si>
    <t>así podré…</t>
  </si>
  <si>
    <t>Mantener control del tratamiento desde el inicio</t>
  </si>
  <si>
    <t>Marcelo Acuña</t>
  </si>
  <si>
    <t>Revisar dosis, frecuencias y horarios</t>
  </si>
  <si>
    <t>Abner Arboleda</t>
  </si>
  <si>
    <t>Mantener información actualizada</t>
  </si>
  <si>
    <t>Christian Bonifaz</t>
  </si>
  <si>
    <t>Evitar confusiones eliminando datos obsoletos</t>
  </si>
  <si>
    <t>Evitar olvidos y mantener adherencia al tratamiento</t>
  </si>
  <si>
    <t>Tareas</t>
  </si>
  <si>
    <t>Asignado</t>
  </si>
  <si>
    <t>RF01-A – Crear medicamento</t>
  </si>
  <si>
    <t>Registrar un nuevo medicamento con todos sus datos</t>
  </si>
  <si>
    <t>Iniciar la gestión del tratamiento</t>
  </si>
  <si>
    <t>RF01-A-1</t>
  </si>
  <si>
    <t>RF01-A-2</t>
  </si>
  <si>
    <t>RF01-A-3</t>
  </si>
  <si>
    <t>RF01-A-4</t>
  </si>
  <si>
    <t>Maquetar formulario de registro de medicamentos</t>
  </si>
  <si>
    <t>Implementar validación de campos obligatorios</t>
  </si>
  <si>
    <t>Guardar medicamento en la base de datos</t>
  </si>
  <si>
    <t>Mostrar mensaje de confirmación al registrar</t>
  </si>
  <si>
    <t>Ver la lista completa de medicamentos registrados</t>
  </si>
  <si>
    <t>Revisar dosis, horarios y frecuencia</t>
  </si>
  <si>
    <t>RF01-B-1</t>
  </si>
  <si>
    <t>RF01-B-2</t>
  </si>
  <si>
    <t>RF01-B-3</t>
  </si>
  <si>
    <t>Crear interfaz de listado de medicamentos</t>
  </si>
  <si>
    <t>Mostrar detalles: nombre, dosis, frecuencia, ícono</t>
  </si>
  <si>
    <t>Configurar actualización dinámica del listado</t>
  </si>
  <si>
    <t>Editar medicamento</t>
  </si>
  <si>
    <t>Modificar datos de un medicamento existente</t>
  </si>
  <si>
    <t>Mantener la información actualizada</t>
  </si>
  <si>
    <t>RF01-C-1</t>
  </si>
  <si>
    <t>RF01-C-2</t>
  </si>
  <si>
    <t>RF01-C-3</t>
  </si>
  <si>
    <t>Crear formulario de edición</t>
  </si>
  <si>
    <t>Cargar datos del medicamento seleccionado</t>
  </si>
  <si>
    <t>Implementar actualización en la base de datos</t>
  </si>
  <si>
    <t>Evitar confusiones con medicamentos obsoletos</t>
  </si>
  <si>
    <t>RF01-D-1</t>
  </si>
  <si>
    <t>RF01-D-2</t>
  </si>
  <si>
    <t>RF01-D-3</t>
  </si>
  <si>
    <t>Agregar botón de eliminación</t>
  </si>
  <si>
    <t>Confirmación de eliminación (modal o alerta)</t>
  </si>
  <si>
    <t>Eliminar el registro de la base</t>
  </si>
  <si>
    <t>RF02-1</t>
  </si>
  <si>
    <t>RF02-2</t>
  </si>
  <si>
    <t>RF02-3</t>
  </si>
  <si>
    <t>Recibir alertas en los horarios programados</t>
  </si>
  <si>
    <t>Crear módulo de programación de recordatorios</t>
  </si>
  <si>
    <t>Implementar notificaciones (visual/sonora)</t>
  </si>
  <si>
    <r>
      <t xml:space="preserve">Registrar evento de toma: </t>
    </r>
    <r>
      <rPr>
        <i/>
        <sz val="10"/>
        <color rgb="FF000000"/>
        <rFont val="Arial"/>
        <family val="2"/>
        <scheme val="minor"/>
      </rPr>
      <t>tomado/omitido/pospuesto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</si>
</sst>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2F5496"/>
      <name val="Arial"/>
    </font>
    <font>
      <sz val="10"/>
      <color rgb="FF0000FF"/>
      <name val="Arial"/>
    </font>
    <font>
      <sz val="10"/>
      <color rgb="FF0000FF"/>
      <name val="Roboto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sz val="8"/>
      <name val="Arial"/>
      <scheme val="minor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2" borderId="1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6" fillId="3" borderId="2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5" borderId="2" xfId="0" applyFont="1" applyFill="1" applyBorder="1"/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Font="1" applyAlignment="1"/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0" borderId="1" xfId="0" applyFont="1" applyBorder="1" applyAlignment="1"/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/>
    <xf numFmtId="0" fontId="13" fillId="0" borderId="0" xfId="0" applyFont="1" applyAlignment="1">
      <alignment wrapText="1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7.2</c:v>
                </c:pt>
                <c:pt idx="3">
                  <c:v>5.4</c:v>
                </c:pt>
                <c:pt idx="4">
                  <c:v>3.6000000000000005</c:v>
                </c:pt>
                <c:pt idx="5">
                  <c:v>1.8000000000000005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8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5" headerRowCount="0">
  <tableColumns count="1">
    <tableColumn id="1" xr3:uid="{00000000-0010-0000-0000-000001000000}" name="Column1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tabSelected="1" workbookViewId="0">
      <selection activeCell="E14" sqref="E14"/>
    </sheetView>
  </sheetViews>
  <sheetFormatPr baseColWidth="10" defaultColWidth="12.5703125" defaultRowHeight="15" customHeight="1" x14ac:dyDescent="0.2"/>
  <cols>
    <col min="1" max="1" width="12.42578125" customWidth="1"/>
    <col min="2" max="2" width="30.28515625" customWidth="1"/>
    <col min="3" max="3" width="36" customWidth="1"/>
    <col min="4" max="4" width="41.42578125" customWidth="1"/>
    <col min="5" max="5" width="54.42578125" customWidth="1"/>
    <col min="6" max="26" width="12.42578125" customWidth="1"/>
  </cols>
  <sheetData>
    <row r="1" spans="1:26" ht="15.75" customHeight="1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6" customFormat="1" ht="25.5" x14ac:dyDescent="0.2">
      <c r="A2" s="3" t="s">
        <v>26</v>
      </c>
      <c r="B2" s="4" t="s">
        <v>27</v>
      </c>
      <c r="C2" s="17" t="s">
        <v>28</v>
      </c>
      <c r="D2" s="17" t="s">
        <v>29</v>
      </c>
      <c r="E2" s="17" t="s">
        <v>30</v>
      </c>
      <c r="F2" s="17"/>
      <c r="G2" s="17" t="s">
        <v>7</v>
      </c>
      <c r="H2" s="17" t="s">
        <v>31</v>
      </c>
    </row>
    <row r="3" spans="1:26" ht="25.5" x14ac:dyDescent="0.2">
      <c r="A3" s="3" t="s">
        <v>32</v>
      </c>
      <c r="B3" s="4" t="s">
        <v>33</v>
      </c>
      <c r="C3" s="17" t="s">
        <v>28</v>
      </c>
      <c r="D3" s="22" t="s">
        <v>34</v>
      </c>
      <c r="E3" s="17" t="s">
        <v>35</v>
      </c>
      <c r="F3" s="17"/>
      <c r="G3" s="17" t="s">
        <v>7</v>
      </c>
      <c r="H3" s="17" t="s">
        <v>31</v>
      </c>
    </row>
    <row r="4" spans="1:26" ht="12.75" x14ac:dyDescent="0.2">
      <c r="A4" s="3" t="s">
        <v>36</v>
      </c>
      <c r="B4" s="4" t="s">
        <v>37</v>
      </c>
      <c r="C4" s="17" t="s">
        <v>28</v>
      </c>
      <c r="D4" s="19" t="s">
        <v>38</v>
      </c>
      <c r="E4" s="17" t="s">
        <v>39</v>
      </c>
      <c r="F4" s="17"/>
      <c r="G4" s="17" t="s">
        <v>7</v>
      </c>
      <c r="H4" s="17" t="s">
        <v>31</v>
      </c>
    </row>
    <row r="5" spans="1:26" ht="12.75" x14ac:dyDescent="0.2">
      <c r="A5" s="3" t="s">
        <v>40</v>
      </c>
      <c r="B5" s="4" t="s">
        <v>41</v>
      </c>
      <c r="C5" s="17" t="s">
        <v>28</v>
      </c>
      <c r="D5" s="18" t="s">
        <v>42</v>
      </c>
      <c r="E5" s="17" t="s">
        <v>43</v>
      </c>
      <c r="F5" s="17"/>
      <c r="G5" s="17" t="s">
        <v>7</v>
      </c>
      <c r="H5" s="17" t="s">
        <v>31</v>
      </c>
    </row>
    <row r="6" spans="1:26" ht="15.75" customHeight="1" x14ac:dyDescent="0.2">
      <c r="A6" s="3" t="s">
        <v>44</v>
      </c>
      <c r="B6" s="4" t="s">
        <v>45</v>
      </c>
      <c r="C6" s="17" t="s">
        <v>28</v>
      </c>
      <c r="D6" s="19" t="s">
        <v>46</v>
      </c>
      <c r="E6" s="17" t="s">
        <v>47</v>
      </c>
      <c r="F6" s="17"/>
      <c r="G6" s="17" t="s">
        <v>7</v>
      </c>
      <c r="H6" s="17" t="s">
        <v>31</v>
      </c>
    </row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60"/>
  <sheetViews>
    <sheetView topLeftCell="A7" zoomScale="70" zoomScaleNormal="70" workbookViewId="0">
      <selection activeCell="E32" sqref="E32"/>
    </sheetView>
  </sheetViews>
  <sheetFormatPr baseColWidth="10" defaultColWidth="12.5703125" defaultRowHeight="15" customHeight="1" x14ac:dyDescent="0.2"/>
  <cols>
    <col min="1" max="2" width="12.42578125" customWidth="1"/>
    <col min="3" max="3" width="71.28515625" bestFit="1" customWidth="1"/>
    <col min="4" max="4" width="17" bestFit="1" customWidth="1"/>
    <col min="5" max="5" width="82" bestFit="1" customWidth="1"/>
    <col min="6" max="6" width="56.140625" customWidth="1"/>
    <col min="7" max="27" width="12.42578125" customWidth="1"/>
  </cols>
  <sheetData>
    <row r="1" spans="1:27" ht="15.75" customHeight="1" x14ac:dyDescent="0.2"/>
    <row r="2" spans="1:27" ht="15.75" customHeight="1" x14ac:dyDescent="0.2"/>
    <row r="3" spans="1:27" ht="15.75" customHeight="1" x14ac:dyDescent="0.2">
      <c r="A3" s="5"/>
      <c r="B3" s="7" t="s">
        <v>8</v>
      </c>
      <c r="C3" s="7" t="s">
        <v>0</v>
      </c>
      <c r="D3" s="7" t="s">
        <v>1</v>
      </c>
      <c r="E3" s="7" t="s">
        <v>9</v>
      </c>
      <c r="F3" s="7" t="s">
        <v>50</v>
      </c>
      <c r="G3" s="7" t="s">
        <v>11</v>
      </c>
      <c r="H3" s="7" t="s">
        <v>4</v>
      </c>
      <c r="I3" s="7" t="s">
        <v>12</v>
      </c>
      <c r="J3" s="7" t="s">
        <v>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38.25" x14ac:dyDescent="0.2">
      <c r="B4" s="3" t="s">
        <v>26</v>
      </c>
      <c r="C4" s="4" t="s">
        <v>27</v>
      </c>
      <c r="D4" s="4" t="s">
        <v>28</v>
      </c>
      <c r="E4" s="4" t="s">
        <v>29</v>
      </c>
      <c r="F4" s="4" t="s">
        <v>51</v>
      </c>
      <c r="G4" s="4" t="s">
        <v>52</v>
      </c>
      <c r="H4" s="4"/>
      <c r="I4" s="4" t="s">
        <v>7</v>
      </c>
      <c r="J4" s="4" t="s">
        <v>31</v>
      </c>
    </row>
    <row r="5" spans="1:27" ht="38.25" x14ac:dyDescent="0.2">
      <c r="B5" s="3" t="s">
        <v>32</v>
      </c>
      <c r="C5" s="24" t="s">
        <v>33</v>
      </c>
      <c r="D5" s="4" t="s">
        <v>28</v>
      </c>
      <c r="E5" s="6" t="s">
        <v>48</v>
      </c>
      <c r="F5" s="4" t="s">
        <v>53</v>
      </c>
      <c r="G5" s="4" t="s">
        <v>54</v>
      </c>
      <c r="H5" s="4"/>
      <c r="I5" s="4" t="s">
        <v>7</v>
      </c>
      <c r="J5" s="4" t="s">
        <v>31</v>
      </c>
    </row>
    <row r="6" spans="1:27" ht="25.5" x14ac:dyDescent="0.2">
      <c r="B6" s="3" t="s">
        <v>36</v>
      </c>
      <c r="C6" s="24" t="s">
        <v>37</v>
      </c>
      <c r="D6" s="4" t="s">
        <v>28</v>
      </c>
      <c r="E6" s="4" t="s">
        <v>38</v>
      </c>
      <c r="F6" s="4" t="s">
        <v>55</v>
      </c>
      <c r="G6" s="4" t="s">
        <v>56</v>
      </c>
      <c r="H6" s="4"/>
      <c r="I6" s="4" t="s">
        <v>7</v>
      </c>
      <c r="J6" s="4" t="s">
        <v>31</v>
      </c>
    </row>
    <row r="7" spans="1:27" ht="39" customHeight="1" x14ac:dyDescent="0.2">
      <c r="B7" s="3" t="s">
        <v>40</v>
      </c>
      <c r="C7" s="24" t="s">
        <v>41</v>
      </c>
      <c r="D7" s="4" t="s">
        <v>28</v>
      </c>
      <c r="E7" s="6" t="s">
        <v>42</v>
      </c>
      <c r="F7" s="4" t="s">
        <v>57</v>
      </c>
      <c r="G7" s="4" t="s">
        <v>52</v>
      </c>
      <c r="H7" s="4"/>
      <c r="I7" s="4" t="s">
        <v>7</v>
      </c>
      <c r="J7" s="4" t="s">
        <v>31</v>
      </c>
    </row>
    <row r="8" spans="1:27" ht="25.5" x14ac:dyDescent="0.2">
      <c r="B8" s="3" t="s">
        <v>44</v>
      </c>
      <c r="C8" s="24" t="s">
        <v>45</v>
      </c>
      <c r="D8" s="4" t="s">
        <v>28</v>
      </c>
      <c r="E8" s="4" t="s">
        <v>49</v>
      </c>
      <c r="F8" s="4" t="s">
        <v>58</v>
      </c>
      <c r="G8" s="4" t="s">
        <v>54</v>
      </c>
      <c r="H8" s="4"/>
      <c r="I8" s="4" t="s">
        <v>7</v>
      </c>
      <c r="J8" s="4" t="s">
        <v>31</v>
      </c>
    </row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>
      <c r="B12" s="25" t="s">
        <v>8</v>
      </c>
      <c r="C12" s="25" t="s">
        <v>0</v>
      </c>
      <c r="D12" s="25" t="s">
        <v>1</v>
      </c>
      <c r="E12" s="25" t="s">
        <v>9</v>
      </c>
      <c r="F12" s="25" t="s">
        <v>10</v>
      </c>
      <c r="G12" s="25" t="s">
        <v>4</v>
      </c>
      <c r="H12" s="25" t="s">
        <v>12</v>
      </c>
      <c r="I12" s="25" t="s">
        <v>13</v>
      </c>
    </row>
    <row r="13" spans="1:27" ht="12.75" x14ac:dyDescent="0.2">
      <c r="B13" s="33" t="s">
        <v>26</v>
      </c>
      <c r="C13" s="33" t="s">
        <v>61</v>
      </c>
      <c r="D13" s="33" t="s">
        <v>28</v>
      </c>
      <c r="E13" s="33" t="s">
        <v>62</v>
      </c>
      <c r="F13" s="34" t="s">
        <v>63</v>
      </c>
      <c r="G13" s="35"/>
      <c r="H13" s="33" t="s">
        <v>7</v>
      </c>
      <c r="I13" s="33" t="s">
        <v>31</v>
      </c>
    </row>
    <row r="14" spans="1:27" ht="15.75" customHeight="1" x14ac:dyDescent="0.2">
      <c r="B14" s="26"/>
      <c r="C14" s="27" t="s">
        <v>59</v>
      </c>
      <c r="D14" s="26"/>
      <c r="E14" s="26"/>
      <c r="F14" s="26"/>
      <c r="G14" s="27" t="s">
        <v>60</v>
      </c>
      <c r="H14" s="26"/>
      <c r="I14" s="27" t="s">
        <v>14</v>
      </c>
    </row>
    <row r="15" spans="1:27" ht="15.75" customHeight="1" x14ac:dyDescent="0.2">
      <c r="B15" s="26" t="s">
        <v>64</v>
      </c>
      <c r="C15" s="26" t="s">
        <v>68</v>
      </c>
      <c r="D15" s="28"/>
      <c r="E15" s="28"/>
      <c r="F15" s="28"/>
      <c r="G15" s="26" t="s">
        <v>52</v>
      </c>
      <c r="H15" s="26"/>
      <c r="I15" s="29">
        <v>2</v>
      </c>
    </row>
    <row r="16" spans="1:27" ht="15.75" customHeight="1" x14ac:dyDescent="0.2">
      <c r="B16" s="26" t="s">
        <v>65</v>
      </c>
      <c r="C16" s="26" t="s">
        <v>69</v>
      </c>
      <c r="D16" s="28"/>
      <c r="E16" s="28"/>
      <c r="F16" s="28"/>
      <c r="G16" s="26" t="s">
        <v>52</v>
      </c>
      <c r="H16" s="26"/>
      <c r="I16" s="29">
        <v>2</v>
      </c>
    </row>
    <row r="17" spans="2:9" ht="12.75" x14ac:dyDescent="0.2">
      <c r="B17" s="26" t="s">
        <v>66</v>
      </c>
      <c r="C17" s="26" t="s">
        <v>70</v>
      </c>
      <c r="D17" s="32"/>
      <c r="E17" s="32"/>
      <c r="F17" s="32"/>
      <c r="G17" s="26" t="s">
        <v>52</v>
      </c>
      <c r="H17" s="26"/>
      <c r="I17" s="29">
        <v>3</v>
      </c>
    </row>
    <row r="18" spans="2:9" ht="15.75" customHeight="1" x14ac:dyDescent="0.2">
      <c r="B18" s="26" t="s">
        <v>67</v>
      </c>
      <c r="C18" s="26" t="s">
        <v>71</v>
      </c>
      <c r="D18" s="28"/>
      <c r="E18" s="28"/>
      <c r="F18" s="28"/>
      <c r="G18" s="26" t="s">
        <v>52</v>
      </c>
      <c r="H18" s="26"/>
      <c r="I18" s="29">
        <v>1</v>
      </c>
    </row>
    <row r="19" spans="2:9" ht="15.75" customHeight="1" x14ac:dyDescent="0.2">
      <c r="B19" s="26"/>
      <c r="C19" s="26"/>
      <c r="D19" s="28"/>
      <c r="E19" s="28"/>
      <c r="F19" s="28"/>
      <c r="G19" s="26"/>
      <c r="H19" s="26"/>
      <c r="I19" s="29"/>
    </row>
    <row r="20" spans="2:9" ht="15.75" customHeight="1" x14ac:dyDescent="0.2">
      <c r="B20" s="33" t="s">
        <v>32</v>
      </c>
      <c r="C20" s="33" t="s">
        <v>33</v>
      </c>
      <c r="D20" s="33" t="s">
        <v>28</v>
      </c>
      <c r="E20" s="33" t="s">
        <v>72</v>
      </c>
      <c r="F20" s="34" t="s">
        <v>73</v>
      </c>
      <c r="G20" s="35"/>
      <c r="H20" s="33" t="s">
        <v>7</v>
      </c>
      <c r="I20" s="33" t="s">
        <v>31</v>
      </c>
    </row>
    <row r="21" spans="2:9" ht="15.75" customHeight="1" x14ac:dyDescent="0.2">
      <c r="B21" s="26"/>
      <c r="C21" s="27" t="s">
        <v>59</v>
      </c>
      <c r="D21" s="28"/>
      <c r="E21" s="28"/>
      <c r="F21" s="28"/>
      <c r="G21" s="27" t="s">
        <v>60</v>
      </c>
      <c r="H21" s="28"/>
      <c r="I21" s="29" t="s">
        <v>14</v>
      </c>
    </row>
    <row r="22" spans="2:9" ht="15.75" customHeight="1" x14ac:dyDescent="0.2">
      <c r="B22" s="26" t="s">
        <v>74</v>
      </c>
      <c r="C22" s="26" t="s">
        <v>77</v>
      </c>
      <c r="D22" s="28"/>
      <c r="E22" s="28"/>
      <c r="F22" s="28"/>
      <c r="G22" s="28" t="s">
        <v>54</v>
      </c>
      <c r="H22" s="28"/>
      <c r="I22" s="28">
        <v>2</v>
      </c>
    </row>
    <row r="23" spans="2:9" ht="15.75" customHeight="1" x14ac:dyDescent="0.2">
      <c r="B23" s="26" t="s">
        <v>75</v>
      </c>
      <c r="C23" s="26" t="s">
        <v>78</v>
      </c>
      <c r="D23" s="28"/>
      <c r="E23" s="28"/>
      <c r="F23" s="28"/>
      <c r="G23" s="28" t="s">
        <v>54</v>
      </c>
      <c r="H23" s="28"/>
      <c r="I23" s="28">
        <v>2</v>
      </c>
    </row>
    <row r="24" spans="2:9" ht="15.75" customHeight="1" x14ac:dyDescent="0.2">
      <c r="B24" s="26" t="s">
        <v>76</v>
      </c>
      <c r="C24" s="26" t="s">
        <v>79</v>
      </c>
      <c r="D24" s="28"/>
      <c r="E24" s="28"/>
      <c r="F24" s="28"/>
      <c r="G24" s="28" t="s">
        <v>54</v>
      </c>
      <c r="H24" s="28"/>
      <c r="I24" s="28">
        <v>3</v>
      </c>
    </row>
    <row r="25" spans="2:9" ht="15.75" customHeight="1" x14ac:dyDescent="0.2">
      <c r="B25" s="28"/>
      <c r="D25" s="30"/>
      <c r="E25" s="30"/>
      <c r="F25" s="30"/>
      <c r="G25" s="28"/>
      <c r="H25" s="28"/>
      <c r="I25" s="28"/>
    </row>
    <row r="26" spans="2:9" ht="15.75" customHeight="1" x14ac:dyDescent="0.2">
      <c r="B26" s="33" t="s">
        <v>36</v>
      </c>
      <c r="C26" s="33" t="s">
        <v>80</v>
      </c>
      <c r="D26" s="33" t="s">
        <v>28</v>
      </c>
      <c r="E26" s="33" t="s">
        <v>81</v>
      </c>
      <c r="F26" s="34" t="s">
        <v>82</v>
      </c>
      <c r="G26" s="35"/>
      <c r="H26" s="33" t="s">
        <v>7</v>
      </c>
      <c r="I26" s="33" t="s">
        <v>31</v>
      </c>
    </row>
    <row r="27" spans="2:9" ht="15.75" customHeight="1" x14ac:dyDescent="0.2">
      <c r="B27" s="26"/>
      <c r="C27" s="27" t="s">
        <v>59</v>
      </c>
      <c r="D27" s="28"/>
      <c r="E27" s="28"/>
      <c r="F27" s="28"/>
      <c r="G27" s="27" t="s">
        <v>60</v>
      </c>
      <c r="H27" s="28"/>
      <c r="I27" s="29" t="s">
        <v>14</v>
      </c>
    </row>
    <row r="28" spans="2:9" ht="15.75" customHeight="1" x14ac:dyDescent="0.2">
      <c r="B28" s="26" t="s">
        <v>83</v>
      </c>
      <c r="C28" s="26" t="s">
        <v>86</v>
      </c>
      <c r="D28" s="28"/>
      <c r="E28" s="28"/>
      <c r="F28" s="28"/>
      <c r="G28" s="28" t="s">
        <v>56</v>
      </c>
      <c r="H28" s="28"/>
      <c r="I28" s="28">
        <v>2</v>
      </c>
    </row>
    <row r="29" spans="2:9" ht="15.75" customHeight="1" x14ac:dyDescent="0.2">
      <c r="B29" s="26" t="s">
        <v>84</v>
      </c>
      <c r="C29" s="26" t="s">
        <v>87</v>
      </c>
      <c r="D29" s="31"/>
      <c r="E29" s="31"/>
      <c r="F29" s="31"/>
      <c r="G29" s="28" t="s">
        <v>56</v>
      </c>
      <c r="H29" s="31"/>
      <c r="I29" s="31">
        <v>2</v>
      </c>
    </row>
    <row r="30" spans="2:9" s="15" customFormat="1" ht="15.75" customHeight="1" x14ac:dyDescent="0.2">
      <c r="B30" s="26" t="s">
        <v>85</v>
      </c>
      <c r="C30" s="26" t="s">
        <v>88</v>
      </c>
      <c r="D30" s="31"/>
      <c r="E30" s="31"/>
      <c r="F30" s="31"/>
      <c r="G30" s="28" t="s">
        <v>56</v>
      </c>
      <c r="H30" s="31"/>
      <c r="I30" s="31">
        <v>3</v>
      </c>
    </row>
    <row r="31" spans="2:9" ht="15.75" customHeight="1" x14ac:dyDescent="0.2">
      <c r="B31" s="31"/>
      <c r="C31" s="31"/>
      <c r="D31" s="31"/>
      <c r="E31" s="31"/>
      <c r="F31" s="31"/>
      <c r="G31" s="31"/>
      <c r="H31" s="31"/>
      <c r="I31" s="31"/>
    </row>
    <row r="32" spans="2:9" ht="15.75" customHeight="1" x14ac:dyDescent="0.2">
      <c r="B32" s="33" t="s">
        <v>40</v>
      </c>
      <c r="C32" s="33" t="s">
        <v>41</v>
      </c>
      <c r="D32" s="33" t="s">
        <v>28</v>
      </c>
      <c r="E32" s="33" t="s">
        <v>42</v>
      </c>
      <c r="F32" s="34" t="s">
        <v>89</v>
      </c>
      <c r="G32" s="35"/>
      <c r="H32" s="33" t="s">
        <v>7</v>
      </c>
      <c r="I32" s="33" t="s">
        <v>31</v>
      </c>
    </row>
    <row r="33" spans="2:9" ht="15.75" customHeight="1" x14ac:dyDescent="0.2">
      <c r="B33" s="26"/>
      <c r="C33" s="27" t="s">
        <v>59</v>
      </c>
      <c r="D33" s="28"/>
      <c r="E33" s="28"/>
      <c r="F33" s="28"/>
      <c r="G33" s="27" t="s">
        <v>60</v>
      </c>
      <c r="H33" s="28"/>
      <c r="I33" s="29" t="s">
        <v>14</v>
      </c>
    </row>
    <row r="34" spans="2:9" ht="15.75" customHeight="1" x14ac:dyDescent="0.2">
      <c r="B34" s="26" t="s">
        <v>90</v>
      </c>
      <c r="C34" s="26" t="s">
        <v>93</v>
      </c>
      <c r="D34" s="28"/>
      <c r="E34" s="28"/>
      <c r="F34" s="28"/>
      <c r="G34" s="26" t="s">
        <v>52</v>
      </c>
      <c r="H34" s="28"/>
      <c r="I34" s="28">
        <v>1</v>
      </c>
    </row>
    <row r="35" spans="2:9" ht="15.75" customHeight="1" x14ac:dyDescent="0.2">
      <c r="B35" s="26" t="s">
        <v>91</v>
      </c>
      <c r="C35" s="26" t="s">
        <v>94</v>
      </c>
      <c r="D35" s="31"/>
      <c r="E35" s="31"/>
      <c r="F35" s="31"/>
      <c r="G35" s="26" t="s">
        <v>52</v>
      </c>
      <c r="H35" s="31"/>
      <c r="I35" s="31">
        <v>1</v>
      </c>
    </row>
    <row r="36" spans="2:9" ht="15.75" customHeight="1" x14ac:dyDescent="0.2">
      <c r="B36" s="26" t="s">
        <v>92</v>
      </c>
      <c r="C36" s="26" t="s">
        <v>95</v>
      </c>
      <c r="G36" s="26" t="s">
        <v>52</v>
      </c>
      <c r="I36">
        <v>2</v>
      </c>
    </row>
    <row r="37" spans="2:9" ht="15.75" customHeight="1" x14ac:dyDescent="0.2">
      <c r="C37" s="23"/>
    </row>
    <row r="38" spans="2:9" ht="15.75" customHeight="1" x14ac:dyDescent="0.2">
      <c r="B38" s="33" t="s">
        <v>44</v>
      </c>
      <c r="C38" s="33" t="s">
        <v>45</v>
      </c>
      <c r="D38" s="33" t="s">
        <v>28</v>
      </c>
      <c r="E38" s="33" t="s">
        <v>99</v>
      </c>
      <c r="F38" s="34" t="s">
        <v>47</v>
      </c>
      <c r="G38" s="35"/>
      <c r="H38" s="33" t="s">
        <v>7</v>
      </c>
      <c r="I38" s="33" t="s">
        <v>31</v>
      </c>
    </row>
    <row r="39" spans="2:9" ht="15.75" customHeight="1" x14ac:dyDescent="0.2">
      <c r="B39" s="26"/>
      <c r="C39" s="27" t="s">
        <v>59</v>
      </c>
      <c r="D39" s="28"/>
      <c r="E39" s="28"/>
      <c r="F39" s="28"/>
      <c r="G39" s="27" t="s">
        <v>60</v>
      </c>
      <c r="H39" s="28"/>
      <c r="I39" s="29" t="s">
        <v>14</v>
      </c>
    </row>
    <row r="40" spans="2:9" ht="15.75" customHeight="1" x14ac:dyDescent="0.2">
      <c r="B40" s="26" t="s">
        <v>96</v>
      </c>
      <c r="C40" s="26" t="s">
        <v>100</v>
      </c>
      <c r="D40" s="28"/>
      <c r="E40" s="28"/>
      <c r="F40" s="28"/>
      <c r="G40" s="28" t="s">
        <v>54</v>
      </c>
      <c r="H40" s="28"/>
      <c r="I40" s="28">
        <v>3</v>
      </c>
    </row>
    <row r="41" spans="2:9" ht="15.75" customHeight="1" x14ac:dyDescent="0.2">
      <c r="B41" s="26" t="s">
        <v>97</v>
      </c>
      <c r="C41" s="26" t="s">
        <v>101</v>
      </c>
      <c r="D41" s="31"/>
      <c r="E41" s="31"/>
      <c r="F41" s="31"/>
      <c r="G41" s="28" t="s">
        <v>54</v>
      </c>
      <c r="H41" s="31"/>
      <c r="I41" s="31">
        <v>3</v>
      </c>
    </row>
    <row r="42" spans="2:9" ht="15.75" customHeight="1" x14ac:dyDescent="0.2">
      <c r="B42" s="26" t="s">
        <v>98</v>
      </c>
      <c r="C42" s="26" t="s">
        <v>102</v>
      </c>
      <c r="D42" s="15"/>
      <c r="E42" s="15"/>
      <c r="F42" s="15"/>
      <c r="G42" s="28" t="s">
        <v>54</v>
      </c>
      <c r="H42" s="15"/>
      <c r="I42" s="15">
        <v>4</v>
      </c>
    </row>
    <row r="43" spans="2:9" ht="15.75" customHeight="1" x14ac:dyDescent="0.2">
      <c r="C43" s="23"/>
    </row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985"/>
  <sheetViews>
    <sheetView zoomScale="85" zoomScaleNormal="85" workbookViewId="0">
      <selection activeCell="D10" sqref="D10"/>
    </sheetView>
  </sheetViews>
  <sheetFormatPr baseColWidth="10" defaultColWidth="12.5703125" defaultRowHeight="15" customHeight="1" x14ac:dyDescent="0.2"/>
  <cols>
    <col min="1" max="1" width="12.42578125" customWidth="1"/>
    <col min="2" max="2" width="24.42578125" customWidth="1"/>
    <col min="3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8"/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</row>
    <row r="4" spans="2:9" ht="15.75" customHeight="1" x14ac:dyDescent="0.2">
      <c r="B4" s="10" t="s">
        <v>21</v>
      </c>
      <c r="C4" s="11">
        <v>4</v>
      </c>
      <c r="D4" s="12">
        <v>0</v>
      </c>
      <c r="E4" s="9">
        <v>1</v>
      </c>
      <c r="F4" s="9">
        <v>1</v>
      </c>
      <c r="G4" s="9">
        <v>0</v>
      </c>
      <c r="H4" s="12">
        <v>1</v>
      </c>
      <c r="I4" s="13">
        <f t="shared" ref="I4:I5" si="0">SUM(D4:H4)</f>
        <v>3</v>
      </c>
    </row>
    <row r="5" spans="2:9" ht="15.75" customHeight="1" x14ac:dyDescent="0.2">
      <c r="B5" s="10" t="s">
        <v>22</v>
      </c>
      <c r="C5" s="11">
        <v>5</v>
      </c>
      <c r="D5" s="9">
        <v>0</v>
      </c>
      <c r="E5" s="9">
        <v>1</v>
      </c>
      <c r="F5" s="12">
        <v>2</v>
      </c>
      <c r="G5" s="9">
        <v>1</v>
      </c>
      <c r="H5" s="12">
        <v>1</v>
      </c>
      <c r="I5" s="13">
        <f t="shared" si="0"/>
        <v>5</v>
      </c>
    </row>
    <row r="6" spans="2:9" ht="15.75" customHeight="1" x14ac:dyDescent="0.2"/>
    <row r="7" spans="2:9" ht="15.75" customHeight="1" x14ac:dyDescent="0.2"/>
    <row r="8" spans="2:9" ht="15.75" customHeight="1" x14ac:dyDescent="0.2"/>
    <row r="9" spans="2:9" ht="15.75" customHeight="1" x14ac:dyDescent="0.2"/>
    <row r="10" spans="2:9" ht="15.75" customHeight="1" x14ac:dyDescent="0.2">
      <c r="B10" s="14" t="s">
        <v>23</v>
      </c>
      <c r="C10" s="8">
        <f>SUM(C4:C5)</f>
        <v>9</v>
      </c>
      <c r="D10" s="8">
        <f>C10-SUM(D4:D5)</f>
        <v>9</v>
      </c>
      <c r="E10" s="8">
        <f t="shared" ref="D10:H10" si="1">D10-SUM(E4:E5)</f>
        <v>7</v>
      </c>
      <c r="F10" s="8">
        <f t="shared" si="1"/>
        <v>4</v>
      </c>
      <c r="G10" s="8">
        <f t="shared" si="1"/>
        <v>3</v>
      </c>
      <c r="H10" s="8">
        <f t="shared" si="1"/>
        <v>1</v>
      </c>
    </row>
    <row r="11" spans="2:9" ht="15.75" customHeight="1" x14ac:dyDescent="0.2">
      <c r="B11" s="14" t="s">
        <v>24</v>
      </c>
      <c r="C11" s="8">
        <f>SUM(C4:C5)</f>
        <v>9</v>
      </c>
      <c r="D11" s="8">
        <f>C11-(SUM(C4:C5)/5)</f>
        <v>7.2</v>
      </c>
      <c r="E11" s="8">
        <f>D11-(SUM(C4:C5)/5)</f>
        <v>5.4</v>
      </c>
      <c r="F11" s="8">
        <f>E11-(SUM(C4:C5)/5)</f>
        <v>3.6000000000000005</v>
      </c>
      <c r="G11" s="8">
        <f>F11-(SUM(C4:C5)/5)</f>
        <v>1.8000000000000005</v>
      </c>
      <c r="H11" s="8">
        <f>G11-(SUM(C4:C5)/5)</f>
        <v>0</v>
      </c>
    </row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>
      <c r="B15" s="21" t="s">
        <v>25</v>
      </c>
      <c r="C15" s="20"/>
      <c r="D15" s="20"/>
      <c r="E15" s="20"/>
      <c r="F15" s="20"/>
      <c r="G15" s="20"/>
    </row>
    <row r="16" spans="2:9" ht="15.75" customHeight="1" x14ac:dyDescent="0.2">
      <c r="B16" s="20"/>
      <c r="C16" s="20"/>
      <c r="D16" s="20"/>
      <c r="E16" s="20"/>
      <c r="F16" s="20"/>
      <c r="G16" s="20"/>
    </row>
    <row r="17" spans="2:7" ht="15.75" customHeight="1" x14ac:dyDescent="0.2">
      <c r="B17" s="20"/>
      <c r="C17" s="20"/>
      <c r="D17" s="20"/>
      <c r="E17" s="20"/>
      <c r="F17" s="20"/>
      <c r="G17" s="20"/>
    </row>
    <row r="18" spans="2:7" ht="15.75" customHeight="1" x14ac:dyDescent="0.2">
      <c r="B18" s="20"/>
      <c r="C18" s="20"/>
      <c r="D18" s="20"/>
      <c r="E18" s="20"/>
      <c r="F18" s="20"/>
      <c r="G18" s="20"/>
    </row>
    <row r="19" spans="2:7" ht="15.75" customHeight="1" x14ac:dyDescent="0.2">
      <c r="B19" s="20"/>
      <c r="C19" s="20"/>
      <c r="D19" s="20"/>
      <c r="E19" s="20"/>
      <c r="F19" s="20"/>
      <c r="G19" s="20"/>
    </row>
    <row r="20" spans="2:7" ht="15.75" customHeight="1" x14ac:dyDescent="0.2">
      <c r="B20" s="20"/>
      <c r="C20" s="20"/>
      <c r="D20" s="20"/>
      <c r="E20" s="20"/>
      <c r="F20" s="20"/>
      <c r="G20" s="20"/>
    </row>
    <row r="21" spans="2:7" ht="15.75" customHeight="1" x14ac:dyDescent="0.2">
      <c r="B21" s="20"/>
      <c r="C21" s="20"/>
      <c r="D21" s="20"/>
      <c r="E21" s="20"/>
      <c r="F21" s="20"/>
      <c r="G21" s="20"/>
    </row>
    <row r="22" spans="2:7" ht="15.75" customHeight="1" x14ac:dyDescent="0.2">
      <c r="B22" s="20"/>
      <c r="C22" s="20"/>
      <c r="D22" s="20"/>
      <c r="E22" s="20"/>
      <c r="F22" s="20"/>
      <c r="G22" s="20"/>
    </row>
    <row r="23" spans="2:7" ht="15.75" customHeight="1" x14ac:dyDescent="0.2"/>
    <row r="24" spans="2:7" ht="15.75" customHeight="1" x14ac:dyDescent="0.2"/>
    <row r="25" spans="2:7" ht="15.75" customHeight="1" x14ac:dyDescent="0.2"/>
    <row r="26" spans="2:7" ht="15.75" customHeight="1" x14ac:dyDescent="0.2"/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B15:G22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cmacuna@espe.edu.ec</cp:lastModifiedBy>
  <dcterms:created xsi:type="dcterms:W3CDTF">2023-06-05T13:12:31Z</dcterms:created>
  <dcterms:modified xsi:type="dcterms:W3CDTF">2025-12-03T13:17:05Z</dcterms:modified>
</cp:coreProperties>
</file>