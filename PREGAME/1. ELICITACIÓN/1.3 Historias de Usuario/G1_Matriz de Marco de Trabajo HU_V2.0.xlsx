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C:\ESPE\Analisis&amp;Diseño\27837_G1_ADS\PREGAME\1. ELICITACIÓN\1.3 Historias de Usuario\"/>
    </mc:Choice>
  </mc:AlternateContent>
  <xr:revisionPtr revIDLastSave="0" documentId="13_ncr:1_{E9B9EE28-F126-4852-9673-2D189B2275BB}" xr6:coauthVersionLast="47" xr6:coauthVersionMax="47" xr10:uidLastSave="{00000000-0000-0000-0000-000000000000}"/>
  <bookViews>
    <workbookView xWindow="-120" yWindow="-120" windowWidth="21840" windowHeight="13740" activeTab="1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6" roundtripDataChecksum="zqQjEeih5K8NWczfqLGaZHv5HRqGCKJmm/RpsPz/4HQ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<sst xmlns="http://schemas.openxmlformats.org/spreadsheetml/2006/main" count="150" uniqueCount="115">
  <si>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</si>
  <si>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</si>
  <si>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</si>
  <si>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</si>
  <si>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</si>
  <si>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</si>
  <si>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</si>
  <si>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</si>
  <si>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</si>
  <si>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</si>
  <si>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</si>
  <si>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</si>
  <si>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</si>
  <si>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</si>
  <si>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</si>
  <si>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RF01</t>
  </si>
  <si>
    <t>El usuario no tiene forma de registrar nuevos medicamentos.</t>
  </si>
  <si>
    <t>Crear un medicamento con todos sus datos.</t>
  </si>
  <si>
    <t>Para iniciar la gestión y control del tratamiento.</t>
  </si>
  <si>
    <t>Usuario adulto mayor / Cuidador</t>
  </si>
  <si>
    <t>Ingresar nombre, presentación, dosis, frecuencia, horario, duración, notas e ícono.</t>
  </si>
  <si>
    <t>Marcelo Acuña</t>
  </si>
  <si>
    <t>Alta</t>
  </si>
  <si>
    <t>No iniciado</t>
  </si>
  <si>
    <t>Validación de campos obligatorios y mensaje “Medicamento registrado exitosamente”.</t>
  </si>
  <si>
    <t>CRUD - Crear</t>
  </si>
  <si>
    <t>Crear medicamento</t>
  </si>
  <si>
    <t>RF02</t>
  </si>
  <si>
    <t>El usuario no puede ver la información de los medicamentos que registró.</t>
  </si>
  <si>
    <t>Consultar la lista de medicamentos.</t>
  </si>
  <si>
    <t>Para revisar rápidamente horarios, dosis y próximas tomas.</t>
  </si>
  <si>
    <t>Mostrar lista con nombre, dosis, frecuencia, ícono y detalles.</t>
  </si>
  <si>
    <t>Se muestra la lista completa y coincide con la base registrada.</t>
  </si>
  <si>
    <t>CRUD - Leer</t>
  </si>
  <si>
    <t>Consultar medicamentos</t>
  </si>
  <si>
    <t>RF03</t>
  </si>
  <si>
    <t>El usuario no puede corregir ni actualizar medicamentos ya registrados.</t>
  </si>
  <si>
    <t>Editar datos de un medicamento existente.</t>
  </si>
  <si>
    <t>Para mantener la información actualizada y evitar errores.</t>
  </si>
  <si>
    <t>Seleccionar medicamento, modificar campos y guardar cambios.</t>
  </si>
  <si>
    <t>Datos actualizados visibles; mensaje “Cambios guardados correctamente”.</t>
  </si>
  <si>
    <t>CRUD - Actualizar</t>
  </si>
  <si>
    <t>Editar medicamento</t>
  </si>
  <si>
    <t>RF04</t>
  </si>
  <si>
    <t>Medicamentos que ya no se usan siguen apareciendo en el sistema.</t>
  </si>
  <si>
    <t>Eliminar un medicamento registrado.</t>
  </si>
  <si>
    <t>Para limpiar la lista y evitar confusiones.</t>
  </si>
  <si>
    <t>Seleccionar medicamento, elegir “Eliminar”, confirmar acción.</t>
  </si>
  <si>
    <t>0.5</t>
  </si>
  <si>
    <t>El registro desaparece y se muestra mensaje “Eliminado correctamente”.</t>
  </si>
  <si>
    <t>CRUD - Eliminar</t>
  </si>
  <si>
    <t>Eliminar medicamento</t>
  </si>
  <si>
    <t>RF05</t>
  </si>
  <si>
    <t>El usuario olvida tomar la medicación a tiempo.</t>
  </si>
  <si>
    <t>Generar recordatorios automáticos con alertas visuales, sonoras y por vibración.</t>
  </si>
  <si>
    <t>Para garantizar la adherencia al tratamiento médico.</t>
  </si>
  <si>
    <t>Usuario adulto mayor</t>
  </si>
  <si>
    <t>El sistema genera una alerta a la hora programada; el usuario marca como tomada, pospone o indica omisión.</t>
  </si>
  <si>
    <t>Se comprueba que la notificación aparezca incluso con la pantalla bloqueada y persista hasta acción del usuario.</t>
  </si>
  <si>
    <t>Vital para la adherencia al tratamiento.</t>
  </si>
  <si>
    <t>Recordatorios de medicación</t>
  </si>
  <si>
    <t>RF06</t>
  </si>
  <si>
    <t>No hay un registro consolidado del historial de tomas.</t>
  </si>
  <si>
    <t>Registrar eventos (tomado, omitido, pospuesto) y generar informes.</t>
  </si>
  <si>
    <t>Para que el usuario o cuidador puedan visualizar y compartir el historial.</t>
  </si>
  <si>
    <t>Cuidador / Profesional de salud</t>
  </si>
  <si>
    <t>Generar reportes PDF con fecha, hora y motivo de cada acción.</t>
  </si>
  <si>
    <t>Abner Arboleda</t>
  </si>
  <si>
    <t>Media</t>
  </si>
  <si>
    <t>Se genera un PDF y se verifica que todos los eventos estén listados correctamente.</t>
  </si>
  <si>
    <t>Compatible con exportación a Excel.</t>
  </si>
  <si>
    <t>Informes de historial de medicación</t>
  </si>
  <si>
    <t>RF07</t>
  </si>
  <si>
    <t>El usuario no tiene seguimiento de síntomas o efectos secundarios.</t>
  </si>
  <si>
    <t>Registrar síntomas asociados a medicamentos.</t>
  </si>
  <si>
    <t>Para monitorear la evolución del tratamiento y posibles reacciones adversas.</t>
  </si>
  <si>
    <t>Seleccionar medicamento, ingresar tipo, intensidad, frecuencia y notas del síntoma.</t>
  </si>
  <si>
    <t>Christian Bonifaz</t>
  </si>
  <si>
    <t>Se guarda el síntoma y se muestra en el historial asociado al medicamento.</t>
  </si>
  <si>
    <t>Puede incluir íconos o categorías visuales.</t>
  </si>
  <si>
    <t>Seguimiento de síntomas</t>
  </si>
  <si>
    <t>RF08</t>
  </si>
  <si>
    <t>El cuidador gestiona varios pacientes y no puede separar información.</t>
  </si>
  <si>
    <t>Gestionar múltiples perfiles de usuario.</t>
  </si>
  <si>
    <t>Para administrar distintos pacientes dentro de la misma aplicación.</t>
  </si>
  <si>
    <t>Cuidador</t>
  </si>
  <si>
    <t>Crear, editar o eliminar perfiles con historiales independientes.</t>
  </si>
  <si>
    <t>Se crean y consultan perfiles distintos verificando independencia de datos.</t>
  </si>
  <si>
    <t>Facilita el trabajo de cuidadores.</t>
  </si>
  <si>
    <t>Gestión de perfiles múltiples</t>
  </si>
  <si>
    <t>RF09</t>
  </si>
  <si>
    <t>El usuario olvida o pierde control sobre citas médicas.</t>
  </si>
  <si>
    <t>Registrar y recordar citas médicas.</t>
  </si>
  <si>
    <t>Para que el usuario sea notificado antes de cada cita.</t>
  </si>
  <si>
    <t>Agregar cita con médico, fecha, hora y observaciones; recibir recordatorio.</t>
  </si>
  <si>
    <t>Se verifica que el recordatorio aparezca antes de la cita y los datos se guarden.</t>
  </si>
  <si>
    <t>Puede integrarse con calendario del sistema.</t>
  </si>
  <si>
    <t>Citas médicas</t>
  </si>
  <si>
    <t>RF10</t>
  </si>
  <si>
    <t>El usuario debe ingresar manualmente las recetas.</t>
  </si>
  <si>
    <t>Escanear recetas médicas con cámara (OCR).</t>
  </si>
  <si>
    <t>Para automatizar el ingreso de medicamentos.</t>
  </si>
  <si>
    <t>Capturar imagen, procesar texto con OCR y validar antes de guardar.</t>
  </si>
  <si>
    <t>Se prueba con distintas recetas y se valida la correcta extracción de texto.</t>
  </si>
  <si>
    <t>Riesgo técnico alto por reconocimiento.</t>
  </si>
  <si>
    <t>Reconocimiento de recetas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</si>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</sst>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9" fillId="5" borderId="5" xfId="0" applyFont="1" applyFill="1" applyBorder="1"/>
    <xf numFmtId="0" fontId="6" fillId="5" borderId="6" xfId="0" applyFont="1" applyFill="1" applyBorder="1" applyAlignment="1">
      <alignment horizontal="left" vertical="center" wrapText="1"/>
    </xf>
    <xf numFmtId="0" fontId="7" fillId="5" borderId="6" xfId="0" applyFont="1" applyFill="1" applyBorder="1"/>
    <xf numFmtId="0" fontId="9" fillId="5" borderId="6" xfId="0" applyFont="1" applyFill="1" applyBorder="1"/>
    <xf numFmtId="0" fontId="9" fillId="5" borderId="7" xfId="0" applyFont="1" applyFill="1" applyBorder="1"/>
    <xf numFmtId="0" fontId="9" fillId="5" borderId="8" xfId="0" applyFont="1" applyFill="1" applyBorder="1"/>
    <xf numFmtId="0" fontId="10" fillId="6" borderId="4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vertical="center"/>
    </xf>
    <xf numFmtId="0" fontId="9" fillId="5" borderId="9" xfId="0" applyFont="1" applyFill="1" applyBorder="1"/>
    <xf numFmtId="0" fontId="9" fillId="5" borderId="10" xfId="0" applyFont="1" applyFill="1" applyBorder="1"/>
    <xf numFmtId="0" fontId="12" fillId="7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 wrapText="1"/>
    </xf>
    <xf numFmtId="0" fontId="7" fillId="5" borderId="9" xfId="0" applyFont="1" applyFill="1" applyBorder="1" applyAlignment="1">
      <alignment vertical="center"/>
    </xf>
    <xf numFmtId="0" fontId="12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/>
    </xf>
    <xf numFmtId="0" fontId="9" fillId="5" borderId="28" xfId="0" applyFont="1" applyFill="1" applyBorder="1"/>
    <xf numFmtId="0" fontId="9" fillId="5" borderId="29" xfId="0" applyFont="1" applyFill="1" applyBorder="1"/>
    <xf numFmtId="0" fontId="9" fillId="5" borderId="30" xfId="0" applyFont="1" applyFill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8" xfId="0" applyFont="1" applyBorder="1"/>
    <xf numFmtId="0" fontId="13" fillId="9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9" xfId="0" applyFont="1" applyBorder="1"/>
    <xf numFmtId="0" fontId="3" fillId="0" borderId="20" xfId="0" applyFont="1" applyBorder="1"/>
    <xf numFmtId="0" fontId="10" fillId="6" borderId="12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7" xfId="0" applyFont="1" applyBorder="1"/>
    <xf numFmtId="0" fontId="3" fillId="0" borderId="14" xfId="0" applyFont="1" applyBorder="1"/>
    <xf numFmtId="0" fontId="0" fillId="0" borderId="0" xfId="0" applyFont="1" applyAlignment="1"/>
    <xf numFmtId="0" fontId="3" fillId="0" borderId="21" xfId="0" applyFont="1" applyBorder="1"/>
    <xf numFmtId="0" fontId="7" fillId="7" borderId="1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7" fillId="7" borderId="12" xfId="0" applyFont="1" applyFill="1" applyBorder="1" applyAlignment="1">
      <alignment horizontal="left" vertical="center" wrapText="1"/>
    </xf>
    <xf numFmtId="0" fontId="3" fillId="0" borderId="14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0" fillId="0" borderId="0" xfId="0" applyFont="1" applyAlignment="1">
      <alignment wrapText="1"/>
    </xf>
    <xf numFmtId="0" fontId="3" fillId="0" borderId="17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0" xfId="0" applyFont="1" applyBorder="1" applyAlignment="1">
      <alignment wrapText="1"/>
    </xf>
    <xf numFmtId="49" fontId="7" fillId="7" borderId="12" xfId="0" applyNumberFormat="1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79"/>
  <sheetViews>
    <sheetView showGridLines="0" zoomScale="70" zoomScaleNormal="70" workbookViewId="0"/>
  </sheetViews>
  <sheetFormatPr baseColWidth="10" defaultColWidth="12.625" defaultRowHeight="15" customHeight="1" x14ac:dyDescent="0.2"/>
  <cols>
    <col min="1" max="1" width="4.625" customWidth="1"/>
    <col min="2" max="2" width="6.625" customWidth="1"/>
    <col min="3" max="5" width="20.625" customWidth="1"/>
    <col min="6" max="6" width="13.125" customWidth="1"/>
    <col min="7" max="7" width="32.5" customWidth="1"/>
    <col min="8" max="12" width="10.625" customWidth="1"/>
    <col min="13" max="13" width="32.75" customWidth="1"/>
    <col min="14" max="15" width="20.625" customWidth="1"/>
    <col min="16" max="26" width="9.375" customWidth="1"/>
  </cols>
  <sheetData>
    <row r="1" spans="1:26" ht="16.5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x14ac:dyDescent="0.3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3">
      <c r="A3" s="1"/>
      <c r="B3" s="34" t="s">
        <v>0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x14ac:dyDescent="0.3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3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5.75" customHeight="1" x14ac:dyDescent="0.3">
      <c r="A6" s="1"/>
      <c r="B6" s="5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>
        <v>45778</v>
      </c>
      <c r="J6" s="7">
        <v>45979</v>
      </c>
      <c r="K6" s="8" t="s">
        <v>22</v>
      </c>
      <c r="L6" s="6" t="s">
        <v>23</v>
      </c>
      <c r="M6" s="9" t="s">
        <v>24</v>
      </c>
      <c r="N6" s="6" t="s">
        <v>25</v>
      </c>
      <c r="O6" s="6" t="s">
        <v>26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.75" customHeight="1" x14ac:dyDescent="0.3">
      <c r="A7" s="1"/>
      <c r="B7" s="5" t="s">
        <v>27</v>
      </c>
      <c r="C7" s="6" t="s">
        <v>28</v>
      </c>
      <c r="D7" s="6" t="s">
        <v>29</v>
      </c>
      <c r="E7" s="6" t="s">
        <v>30</v>
      </c>
      <c r="F7" s="6" t="s">
        <v>19</v>
      </c>
      <c r="G7" s="6" t="s">
        <v>31</v>
      </c>
      <c r="H7" s="6" t="s">
        <v>21</v>
      </c>
      <c r="I7" s="6">
        <v>1</v>
      </c>
      <c r="J7" s="7">
        <v>45980</v>
      </c>
      <c r="K7" s="8" t="s">
        <v>22</v>
      </c>
      <c r="L7" s="6" t="s">
        <v>23</v>
      </c>
      <c r="M7" s="9" t="s">
        <v>32</v>
      </c>
      <c r="N7" s="6" t="s">
        <v>33</v>
      </c>
      <c r="O7" s="6" t="s">
        <v>34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5.75" customHeight="1" x14ac:dyDescent="0.3">
      <c r="A8" s="1"/>
      <c r="B8" s="5" t="s">
        <v>35</v>
      </c>
      <c r="C8" s="6" t="s">
        <v>36</v>
      </c>
      <c r="D8" s="6" t="s">
        <v>37</v>
      </c>
      <c r="E8" s="6" t="s">
        <v>38</v>
      </c>
      <c r="F8" s="6" t="s">
        <v>19</v>
      </c>
      <c r="G8" s="6" t="s">
        <v>39</v>
      </c>
      <c r="H8" s="6" t="s">
        <v>21</v>
      </c>
      <c r="I8" s="6">
        <v>45778</v>
      </c>
      <c r="J8" s="7">
        <v>45981</v>
      </c>
      <c r="K8" s="8" t="s">
        <v>22</v>
      </c>
      <c r="L8" s="6" t="s">
        <v>23</v>
      </c>
      <c r="M8" s="9" t="s">
        <v>40</v>
      </c>
      <c r="N8" s="6" t="s">
        <v>41</v>
      </c>
      <c r="O8" s="6" t="s">
        <v>42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75.75" customHeight="1" x14ac:dyDescent="0.3">
      <c r="A9" s="1"/>
      <c r="B9" s="5" t="s">
        <v>43</v>
      </c>
      <c r="C9" s="6" t="s">
        <v>44</v>
      </c>
      <c r="D9" s="6" t="s">
        <v>45</v>
      </c>
      <c r="E9" s="6" t="s">
        <v>46</v>
      </c>
      <c r="F9" s="6" t="s">
        <v>19</v>
      </c>
      <c r="G9" s="6" t="s">
        <v>47</v>
      </c>
      <c r="H9" s="6" t="s">
        <v>21</v>
      </c>
      <c r="I9" s="6" t="s">
        <v>48</v>
      </c>
      <c r="J9" s="7">
        <v>45982</v>
      </c>
      <c r="K9" s="8" t="s">
        <v>22</v>
      </c>
      <c r="L9" s="6" t="s">
        <v>23</v>
      </c>
      <c r="M9" s="9" t="s">
        <v>49</v>
      </c>
      <c r="N9" s="6" t="s">
        <v>50</v>
      </c>
      <c r="O9" s="6" t="s">
        <v>51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75.75" customHeight="1" x14ac:dyDescent="0.3">
      <c r="A10" s="1"/>
      <c r="B10" s="5" t="s">
        <v>52</v>
      </c>
      <c r="C10" s="6" t="s">
        <v>53</v>
      </c>
      <c r="D10" s="6" t="s">
        <v>54</v>
      </c>
      <c r="E10" s="6" t="s">
        <v>55</v>
      </c>
      <c r="F10" s="6" t="s">
        <v>56</v>
      </c>
      <c r="G10" s="6" t="s">
        <v>57</v>
      </c>
      <c r="H10" s="6" t="s">
        <v>21</v>
      </c>
      <c r="I10" s="6">
        <v>5</v>
      </c>
      <c r="J10" s="7">
        <v>45983</v>
      </c>
      <c r="K10" s="8" t="s">
        <v>22</v>
      </c>
      <c r="L10" s="6" t="s">
        <v>23</v>
      </c>
      <c r="M10" s="9" t="s">
        <v>58</v>
      </c>
      <c r="N10" s="6" t="s">
        <v>59</v>
      </c>
      <c r="O10" s="6" t="s">
        <v>60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75.75" customHeight="1" x14ac:dyDescent="0.3">
      <c r="A11" s="1"/>
      <c r="B11" s="5" t="s">
        <v>61</v>
      </c>
      <c r="C11" s="6" t="s">
        <v>62</v>
      </c>
      <c r="D11" s="6" t="s">
        <v>63</v>
      </c>
      <c r="E11" s="6" t="s">
        <v>64</v>
      </c>
      <c r="F11" s="6" t="s">
        <v>65</v>
      </c>
      <c r="G11" s="6" t="s">
        <v>66</v>
      </c>
      <c r="H11" s="6" t="s">
        <v>67</v>
      </c>
      <c r="I11" s="6">
        <v>3</v>
      </c>
      <c r="J11" s="7">
        <v>45984</v>
      </c>
      <c r="K11" s="8" t="s">
        <v>68</v>
      </c>
      <c r="L11" s="6" t="s">
        <v>23</v>
      </c>
      <c r="M11" s="9" t="s">
        <v>69</v>
      </c>
      <c r="N11" s="6" t="s">
        <v>70</v>
      </c>
      <c r="O11" s="6" t="s">
        <v>71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4.5" customHeight="1" x14ac:dyDescent="0.3">
      <c r="A12" s="1"/>
      <c r="B12" s="5" t="s">
        <v>72</v>
      </c>
      <c r="C12" s="6" t="s">
        <v>73</v>
      </c>
      <c r="D12" s="6" t="s">
        <v>74</v>
      </c>
      <c r="E12" s="6" t="s">
        <v>75</v>
      </c>
      <c r="F12" s="6" t="s">
        <v>19</v>
      </c>
      <c r="G12" s="6" t="s">
        <v>76</v>
      </c>
      <c r="H12" s="6" t="s">
        <v>77</v>
      </c>
      <c r="I12" s="6">
        <v>3</v>
      </c>
      <c r="J12" s="7">
        <v>45985</v>
      </c>
      <c r="K12" s="8" t="s">
        <v>68</v>
      </c>
      <c r="L12" s="6" t="s">
        <v>23</v>
      </c>
      <c r="M12" s="9" t="s">
        <v>78</v>
      </c>
      <c r="N12" s="6" t="s">
        <v>79</v>
      </c>
      <c r="O12" s="6" t="s">
        <v>80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1.5" customHeight="1" x14ac:dyDescent="0.3">
      <c r="A13" s="1"/>
      <c r="B13" s="5" t="s">
        <v>81</v>
      </c>
      <c r="C13" s="6" t="s">
        <v>82</v>
      </c>
      <c r="D13" s="6" t="s">
        <v>83</v>
      </c>
      <c r="E13" s="6" t="s">
        <v>84</v>
      </c>
      <c r="F13" s="6" t="s">
        <v>85</v>
      </c>
      <c r="G13" s="6" t="s">
        <v>86</v>
      </c>
      <c r="H13" s="6" t="s">
        <v>21</v>
      </c>
      <c r="I13" s="6">
        <v>4</v>
      </c>
      <c r="J13" s="7">
        <v>45986</v>
      </c>
      <c r="K13" s="8" t="s">
        <v>68</v>
      </c>
      <c r="L13" s="6" t="s">
        <v>23</v>
      </c>
      <c r="M13" s="9" t="s">
        <v>87</v>
      </c>
      <c r="N13" s="6" t="s">
        <v>88</v>
      </c>
      <c r="O13" s="6" t="s">
        <v>89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70.5" customHeight="1" x14ac:dyDescent="0.3">
      <c r="A14" s="1"/>
      <c r="B14" s="5" t="s">
        <v>90</v>
      </c>
      <c r="C14" s="6" t="s">
        <v>91</v>
      </c>
      <c r="D14" s="6" t="s">
        <v>92</v>
      </c>
      <c r="E14" s="6" t="s">
        <v>93</v>
      </c>
      <c r="F14" s="6" t="s">
        <v>56</v>
      </c>
      <c r="G14" s="6" t="s">
        <v>94</v>
      </c>
      <c r="H14" s="6" t="s">
        <v>67</v>
      </c>
      <c r="I14" s="6">
        <v>3</v>
      </c>
      <c r="J14" s="7">
        <v>45987</v>
      </c>
      <c r="K14" s="8" t="s">
        <v>68</v>
      </c>
      <c r="L14" s="6" t="s">
        <v>23</v>
      </c>
      <c r="M14" s="9" t="s">
        <v>95</v>
      </c>
      <c r="N14" s="6" t="s">
        <v>96</v>
      </c>
      <c r="O14" s="6" t="s">
        <v>97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1.5" customHeight="1" x14ac:dyDescent="0.3">
      <c r="A15" s="1"/>
      <c r="B15" s="5" t="s">
        <v>98</v>
      </c>
      <c r="C15" s="6" t="s">
        <v>99</v>
      </c>
      <c r="D15" s="6" t="s">
        <v>100</v>
      </c>
      <c r="E15" s="6" t="s">
        <v>101</v>
      </c>
      <c r="F15" s="6" t="s">
        <v>19</v>
      </c>
      <c r="G15" s="6" t="s">
        <v>102</v>
      </c>
      <c r="H15" s="6" t="s">
        <v>77</v>
      </c>
      <c r="I15" s="6">
        <v>6</v>
      </c>
      <c r="J15" s="7">
        <v>45988</v>
      </c>
      <c r="K15" s="8" t="s">
        <v>22</v>
      </c>
      <c r="L15" s="6" t="s">
        <v>23</v>
      </c>
      <c r="M15" s="9" t="s">
        <v>103</v>
      </c>
      <c r="N15" s="6" t="s">
        <v>104</v>
      </c>
      <c r="O15" s="6" t="s">
        <v>105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"/>
      <c r="B16" s="1"/>
      <c r="C16" s="1"/>
      <c r="D16" s="1"/>
      <c r="E16" s="1"/>
      <c r="F16" s="1"/>
      <c r="G16" s="1"/>
      <c r="H16" s="1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"/>
      <c r="B17" s="1"/>
      <c r="C17" s="1"/>
      <c r="D17" s="1"/>
      <c r="E17" s="1"/>
      <c r="F17" s="1"/>
      <c r="G17" s="1"/>
      <c r="H17" s="1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G18" s="1"/>
      <c r="H18" s="1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2"/>
      <c r="J24" s="2"/>
      <c r="K24" s="3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2"/>
      <c r="J25" s="2"/>
      <c r="K25" s="3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2"/>
      <c r="J26" s="2"/>
      <c r="K26" s="3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2"/>
      <c r="J27" s="2"/>
      <c r="K27" s="3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2"/>
      <c r="J28" s="2"/>
      <c r="K28" s="3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2"/>
      <c r="J29" s="2"/>
      <c r="K29" s="3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2"/>
      <c r="J30" s="2"/>
      <c r="K30" s="3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2"/>
      <c r="J31" s="2"/>
      <c r="K31" s="3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2"/>
      <c r="J32" s="2"/>
      <c r="K32" s="3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2"/>
      <c r="J33" s="2"/>
      <c r="K33" s="3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2"/>
      <c r="J34" s="2"/>
      <c r="K34" s="3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2"/>
      <c r="J35" s="2"/>
      <c r="K35" s="3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2"/>
      <c r="J36" s="2"/>
      <c r="K36" s="3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2"/>
      <c r="J37" s="2"/>
      <c r="K37" s="3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2"/>
      <c r="J38" s="2"/>
      <c r="K38" s="3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2"/>
      <c r="J39" s="2"/>
      <c r="K39" s="3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2"/>
      <c r="J40" s="2"/>
      <c r="K40" s="3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3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3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/>
    <row r="217" spans="1:26" ht="15.75" customHeight="1" x14ac:dyDescent="0.2"/>
    <row r="218" spans="1:26" ht="15.75" customHeight="1" x14ac:dyDescent="0.2"/>
    <row r="219" spans="1:26" ht="15.75" customHeight="1" x14ac:dyDescent="0.2"/>
    <row r="220" spans="1:26" ht="15.75" customHeight="1" x14ac:dyDescent="0.2"/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</sheetData>
  <mergeCells count="1">
    <mergeCell ref="B3:O3"/>
  </mergeCells>
  <conditionalFormatting sqref="L6:L15 L20:L23">
    <cfRule type="colorScale" priority="1">
      <colorScale>
        <cfvo type="min"/>
        <cfvo type="max"/>
        <color rgb="FF57BB8A"/>
        <color rgb="FFFFFFFF"/>
      </colorScale>
    </cfRule>
  </conditionalFormatting>
  <conditionalFormatting sqref="L6:L9 L14:L15">
    <cfRule type="colorScale" priority="2">
      <colorScale>
        <cfvo type="min"/>
        <cfvo type="max"/>
        <color rgb="FF57BB8A"/>
        <color rgb="FFFFFFFF"/>
      </colorScale>
    </cfRule>
  </conditionalFormatting>
  <conditionalFormatting sqref="L12">
    <cfRule type="colorScale" priority="3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ErrorMessage="1" sqref="K10:L15" xr:uid="{00000000-0002-0000-0000-000000000000}">
      <formula1>#REF!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00"/>
  <sheetViews>
    <sheetView showGridLines="0" tabSelected="1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10"/>
      <c r="D4" s="10"/>
      <c r="E4" s="10"/>
      <c r="F4" s="11"/>
    </row>
    <row r="5" spans="1:26" hidden="1" x14ac:dyDescent="0.25">
      <c r="C5" s="10"/>
      <c r="D5" s="10"/>
      <c r="E5" s="10"/>
      <c r="F5" s="11"/>
    </row>
    <row r="6" spans="1:26" ht="39.75" customHeight="1" x14ac:dyDescent="0.2">
      <c r="B6" s="37" t="s">
        <v>106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</row>
    <row r="7" spans="1:26" ht="9.75" customHeight="1" x14ac:dyDescent="0.2">
      <c r="A7" s="12"/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9.75" customHeight="1" x14ac:dyDescent="0.25">
      <c r="B8" s="14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8"/>
      <c r="Q8" s="12"/>
    </row>
    <row r="9" spans="1:26" ht="30" customHeight="1" x14ac:dyDescent="0.2">
      <c r="B9" s="19"/>
      <c r="C9" s="20" t="s">
        <v>1</v>
      </c>
      <c r="D9" s="21"/>
      <c r="E9" s="38" t="s">
        <v>107</v>
      </c>
      <c r="F9" s="36"/>
      <c r="G9" s="21"/>
      <c r="H9" s="38" t="s">
        <v>11</v>
      </c>
      <c r="I9" s="36"/>
      <c r="J9" s="22"/>
      <c r="K9" s="22"/>
      <c r="L9" s="22"/>
      <c r="M9" s="22"/>
      <c r="N9" s="22"/>
      <c r="O9" s="22"/>
      <c r="P9" s="23"/>
      <c r="Q9" s="12"/>
    </row>
    <row r="10" spans="1:26" ht="30" customHeight="1" x14ac:dyDescent="0.2">
      <c r="B10" s="19"/>
      <c r="C10" s="24" t="s">
        <v>98</v>
      </c>
      <c r="D10" s="25"/>
      <c r="E10" s="70" t="str">
        <f>VLOOKUP(C10,'Formato descripción HU'!B6:O15,5,0)</f>
        <v>Usuario adulto mayor / Cuidador</v>
      </c>
      <c r="F10" s="71"/>
      <c r="G10" s="26"/>
      <c r="H10" s="39" t="str">
        <f>VLOOKUP(C10,'Formato descripción HU'!B6:O15,11,0)</f>
        <v>No iniciado</v>
      </c>
      <c r="I10" s="36"/>
      <c r="J10" s="26"/>
      <c r="K10" s="22"/>
      <c r="L10" s="22"/>
      <c r="M10" s="22"/>
      <c r="N10" s="22"/>
      <c r="O10" s="22"/>
      <c r="P10" s="23"/>
      <c r="Q10" s="12"/>
    </row>
    <row r="11" spans="1:26" ht="9.75" customHeight="1" x14ac:dyDescent="0.2">
      <c r="A11" s="12"/>
      <c r="B11" s="19"/>
      <c r="C11" s="27"/>
      <c r="D11" s="25"/>
      <c r="E11" s="28"/>
      <c r="F11" s="28"/>
      <c r="G11" s="26"/>
      <c r="H11" s="28"/>
      <c r="I11" s="28"/>
      <c r="J11" s="26"/>
      <c r="K11" s="28"/>
      <c r="L11" s="28"/>
      <c r="M11" s="22"/>
      <c r="N11" s="28"/>
      <c r="O11" s="28"/>
      <c r="P11" s="23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30" customHeight="1" x14ac:dyDescent="0.2">
      <c r="A12" s="12"/>
      <c r="B12" s="19"/>
      <c r="C12" s="20" t="s">
        <v>108</v>
      </c>
      <c r="D12" s="25"/>
      <c r="E12" s="38" t="s">
        <v>10</v>
      </c>
      <c r="F12" s="36"/>
      <c r="G12" s="26"/>
      <c r="H12" s="38" t="s">
        <v>109</v>
      </c>
      <c r="I12" s="36"/>
      <c r="J12" s="26"/>
      <c r="K12" s="28"/>
      <c r="L12" s="28"/>
      <c r="M12" s="22"/>
      <c r="N12" s="28"/>
      <c r="O12" s="28"/>
      <c r="P12" s="23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30" customHeight="1" x14ac:dyDescent="0.2">
      <c r="A13" s="12"/>
      <c r="B13" s="19"/>
      <c r="C13" s="29">
        <f>VLOOKUP('Historia de Usuario'!C10,'Formato descripción HU'!B6:O15,8,0)</f>
        <v>6</v>
      </c>
      <c r="D13" s="25"/>
      <c r="E13" s="39" t="str">
        <f>VLOOKUP(C10,'Formato descripción HU'!B6:O15,10,0)</f>
        <v>Alta</v>
      </c>
      <c r="F13" s="36"/>
      <c r="G13" s="26"/>
      <c r="H13" s="39" t="str">
        <f>VLOOKUP(C10,'Formato descripción HU'!B6:O15,7,0)</f>
        <v>Christian Bonifaz</v>
      </c>
      <c r="I13" s="36"/>
      <c r="J13" s="26"/>
      <c r="K13" s="28"/>
      <c r="L13" s="28"/>
      <c r="M13" s="22"/>
      <c r="N13" s="28"/>
      <c r="O13" s="28"/>
      <c r="P13" s="23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9.75" customHeight="1" x14ac:dyDescent="0.2">
      <c r="A14" s="12"/>
      <c r="B14" s="19"/>
      <c r="C14" s="22"/>
      <c r="D14" s="25"/>
      <c r="E14" s="22"/>
      <c r="F14" s="22"/>
      <c r="G14" s="26"/>
      <c r="H14" s="26"/>
      <c r="I14" s="22"/>
      <c r="J14" s="22"/>
      <c r="K14" s="22"/>
      <c r="L14" s="22"/>
      <c r="M14" s="22"/>
      <c r="N14" s="22"/>
      <c r="O14" s="22"/>
      <c r="P14" s="23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9.5" customHeight="1" x14ac:dyDescent="0.2">
      <c r="A15" s="12"/>
      <c r="B15" s="19"/>
      <c r="C15" s="40" t="s">
        <v>110</v>
      </c>
      <c r="D15" s="53" t="str">
        <f>VLOOKUP(C10,'Formato descripción HU'!B6:O15,3,0)</f>
        <v>Escanear recetas médicas con cámara (OCR).</v>
      </c>
      <c r="E15" s="44"/>
      <c r="F15" s="30"/>
      <c r="G15" s="40" t="s">
        <v>111</v>
      </c>
      <c r="H15" s="53" t="str">
        <f>VLOOKUP(C10,'Formato descripción HU'!B6:O15,4,0)</f>
        <v>Para automatizar el ingreso de medicamentos.</v>
      </c>
      <c r="I15" s="50"/>
      <c r="J15" s="44"/>
      <c r="K15" s="30"/>
      <c r="L15" s="40" t="s">
        <v>112</v>
      </c>
      <c r="M15" s="60" t="str">
        <f>VLOOKUP(C10,'Formato descripción HU'!B6:O15,6,0)</f>
        <v>Capturar imagen, procesar texto con OCR y validar antes de guardar.</v>
      </c>
      <c r="N15" s="61"/>
      <c r="O15" s="62"/>
      <c r="P15" s="23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9.5" customHeight="1" x14ac:dyDescent="0.2">
      <c r="A16" s="12"/>
      <c r="B16" s="19"/>
      <c r="C16" s="41"/>
      <c r="D16" s="48"/>
      <c r="E16" s="49"/>
      <c r="F16" s="30"/>
      <c r="G16" s="41"/>
      <c r="H16" s="48"/>
      <c r="I16" s="51"/>
      <c r="J16" s="49"/>
      <c r="K16" s="30"/>
      <c r="L16" s="41"/>
      <c r="M16" s="63"/>
      <c r="N16" s="64"/>
      <c r="O16" s="65"/>
      <c r="P16" s="23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9.5" customHeight="1" x14ac:dyDescent="0.2">
      <c r="A17" s="12"/>
      <c r="B17" s="19"/>
      <c r="C17" s="42"/>
      <c r="D17" s="45"/>
      <c r="E17" s="46"/>
      <c r="F17" s="30"/>
      <c r="G17" s="42"/>
      <c r="H17" s="45"/>
      <c r="I17" s="52"/>
      <c r="J17" s="46"/>
      <c r="K17" s="30"/>
      <c r="L17" s="42"/>
      <c r="M17" s="66"/>
      <c r="N17" s="67"/>
      <c r="O17" s="68"/>
      <c r="P17" s="23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9.75" customHeight="1" x14ac:dyDescent="0.2">
      <c r="A18" s="12"/>
      <c r="B18" s="19"/>
      <c r="C18" s="22"/>
      <c r="D18" s="22"/>
      <c r="E18" s="22"/>
      <c r="F18" s="22"/>
      <c r="G18" s="26"/>
      <c r="H18" s="26"/>
      <c r="I18" s="26"/>
      <c r="J18" s="22"/>
      <c r="K18" s="22"/>
      <c r="L18" s="22"/>
      <c r="M18" s="22"/>
      <c r="N18" s="22"/>
      <c r="O18" s="22"/>
      <c r="P18" s="23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9.5" customHeight="1" x14ac:dyDescent="0.2">
      <c r="B19" s="19"/>
      <c r="C19" s="43" t="s">
        <v>113</v>
      </c>
      <c r="D19" s="44"/>
      <c r="E19" s="54" t="str">
        <f>VLOOKUP(C10,'Formato descripción HU'!B6:O15,14,0)</f>
        <v>Reconocimiento de recetas</v>
      </c>
      <c r="F19" s="55"/>
      <c r="G19" s="55"/>
      <c r="H19" s="55"/>
      <c r="I19" s="55"/>
      <c r="J19" s="55"/>
      <c r="K19" s="55"/>
      <c r="L19" s="55"/>
      <c r="M19" s="55"/>
      <c r="N19" s="55"/>
      <c r="O19" s="56"/>
      <c r="P19" s="23"/>
      <c r="Q19" s="12"/>
    </row>
    <row r="20" spans="1:26" ht="19.5" customHeight="1" x14ac:dyDescent="0.2">
      <c r="B20" s="19"/>
      <c r="C20" s="45"/>
      <c r="D20" s="46"/>
      <c r="E20" s="57"/>
      <c r="F20" s="58"/>
      <c r="G20" s="58"/>
      <c r="H20" s="58"/>
      <c r="I20" s="58"/>
      <c r="J20" s="58"/>
      <c r="K20" s="58"/>
      <c r="L20" s="58"/>
      <c r="M20" s="58"/>
      <c r="N20" s="58"/>
      <c r="O20" s="59"/>
      <c r="P20" s="23"/>
      <c r="Q20" s="12"/>
    </row>
    <row r="21" spans="1:26" ht="9.75" customHeight="1" x14ac:dyDescent="0.2">
      <c r="B21" s="1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12"/>
    </row>
    <row r="22" spans="1:26" ht="19.5" customHeight="1" x14ac:dyDescent="0.2">
      <c r="A22" s="12"/>
      <c r="B22" s="19"/>
      <c r="C22" s="47" t="s">
        <v>114</v>
      </c>
      <c r="D22" s="44"/>
      <c r="E22" s="69" t="str">
        <f>VLOOKUP(C10,'Formato descripción HU'!B6:O15,12,0)</f>
        <v>Se prueba con distintas recetas y se valida la correcta extracción de texto.</v>
      </c>
      <c r="F22" s="61"/>
      <c r="G22" s="61"/>
      <c r="H22" s="62"/>
      <c r="I22" s="22"/>
      <c r="J22" s="47" t="s">
        <v>13</v>
      </c>
      <c r="K22" s="44"/>
      <c r="L22" s="53" t="str">
        <f>VLOOKUP(C10,'Formato descripción HU'!B6:O15,13,0)</f>
        <v>Riesgo técnico alto por reconocimiento.</v>
      </c>
      <c r="M22" s="61"/>
      <c r="N22" s="61"/>
      <c r="O22" s="62"/>
      <c r="P22" s="23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9.5" customHeight="1" x14ac:dyDescent="0.2">
      <c r="A23" s="12"/>
      <c r="B23" s="19"/>
      <c r="C23" s="48"/>
      <c r="D23" s="49"/>
      <c r="E23" s="63"/>
      <c r="F23" s="64"/>
      <c r="G23" s="64"/>
      <c r="H23" s="65"/>
      <c r="I23" s="22"/>
      <c r="J23" s="48"/>
      <c r="K23" s="49"/>
      <c r="L23" s="63"/>
      <c r="M23" s="64"/>
      <c r="N23" s="64"/>
      <c r="O23" s="65"/>
      <c r="P23" s="23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9.5" customHeight="1" x14ac:dyDescent="0.2">
      <c r="A24" s="12"/>
      <c r="B24" s="19"/>
      <c r="C24" s="45"/>
      <c r="D24" s="46"/>
      <c r="E24" s="66"/>
      <c r="F24" s="67"/>
      <c r="G24" s="67"/>
      <c r="H24" s="68"/>
      <c r="I24" s="22"/>
      <c r="J24" s="45"/>
      <c r="K24" s="46"/>
      <c r="L24" s="66"/>
      <c r="M24" s="67"/>
      <c r="N24" s="67"/>
      <c r="O24" s="68"/>
      <c r="P24" s="23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9.75" customHeight="1" x14ac:dyDescent="0.2">
      <c r="A25" s="12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3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9.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9.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9.5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9.5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9.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9.5" customHeight="1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9.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9.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9.5" customHeight="1" x14ac:dyDescent="0.2"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26" ht="19.5" customHeight="1" x14ac:dyDescent="0.2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26" ht="19.5" customHeight="1" x14ac:dyDescent="0.2"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26" ht="19.5" customHeight="1" x14ac:dyDescent="0.2"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26" ht="19.5" customHeight="1" x14ac:dyDescent="0.2"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26" ht="19.5" customHeight="1" x14ac:dyDescent="0.2"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26" ht="19.5" customHeight="1" x14ac:dyDescent="0.2"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26" ht="19.5" customHeight="1" x14ac:dyDescent="0.2"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26" ht="19.5" customHeight="1" x14ac:dyDescent="0.2"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26" ht="19.5" customHeight="1" x14ac:dyDescent="0.2"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26" ht="19.5" customHeight="1" x14ac:dyDescent="0.2"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26" ht="19.5" customHeight="1" x14ac:dyDescent="0.2"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26" ht="19.5" customHeight="1" x14ac:dyDescent="0.2"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26" ht="19.5" customHeight="1" x14ac:dyDescent="0.2"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26" ht="19.5" customHeight="1" x14ac:dyDescent="0.2"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3:16" ht="19.5" customHeight="1" x14ac:dyDescent="0.2"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3:16" ht="19.5" customHeight="1" x14ac:dyDescent="0.2"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3:16" ht="19.5" customHeight="1" x14ac:dyDescent="0.2"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3:16" ht="19.5" customHeight="1" x14ac:dyDescent="0.2"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3:16" ht="19.5" customHeight="1" x14ac:dyDescent="0.2"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3:16" ht="19.5" customHeight="1" x14ac:dyDescent="0.2"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3:16" ht="15.75" customHeight="1" x14ac:dyDescent="0.2"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3:16" ht="15.75" customHeight="1" x14ac:dyDescent="0.2"/>
    <row r="57" spans="3:16" ht="15.75" customHeight="1" x14ac:dyDescent="0.2"/>
    <row r="58" spans="3:16" ht="15.75" customHeight="1" x14ac:dyDescent="0.2"/>
    <row r="59" spans="3:16" ht="15.75" customHeight="1" x14ac:dyDescent="0.2"/>
    <row r="60" spans="3:16" ht="15.75" customHeight="1" x14ac:dyDescent="0.2"/>
    <row r="61" spans="3:16" ht="15.75" customHeight="1" x14ac:dyDescent="0.2"/>
    <row r="62" spans="3:16" ht="15.75" customHeight="1" x14ac:dyDescent="0.2"/>
    <row r="63" spans="3:16" ht="15.75" customHeight="1" x14ac:dyDescent="0.2"/>
    <row r="64" spans="3:1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HU'!$B$6:$B$15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cmacuna@espe.edu.ec</cp:lastModifiedBy>
  <dcterms:created xsi:type="dcterms:W3CDTF">2025-11-11T12:29:14Z</dcterms:created>
  <dcterms:modified xsi:type="dcterms:W3CDTF">2025-11-19T23:34:57Z</dcterms:modified>
</cp:coreProperties>
</file>