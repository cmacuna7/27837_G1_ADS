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ESPE\Analisis&amp;Diseño\27837_G1_ADS\PREGAME\1. ELICITACIÓN\1.3 Historias de Usuario\"/>
    </mc:Choice>
  </mc:AlternateContent>
  <xr:revisionPtr revIDLastSave="0" documentId="13_ncr:1_{333417B5-0D16-43F6-9B32-AE144620B4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zqQjEeih5K8NWczfqLGaZHv5HRqGCKJmm/RpsPz/4HQ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<sst xmlns="http://schemas.openxmlformats.org/spreadsheetml/2006/main" count="65" uniqueCount="56">
  <si>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</si>
  <si>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</si>
  <si>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</si>
  <si>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</si>
  <si>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</si>
  <si>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</si>
  <si>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</si>
  <si>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</si>
  <si>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</si>
  <si>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</si>
  <si>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</si>
  <si>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</si>
  <si>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</si>
  <si>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</si>
  <si>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</si>
  <si>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Usuario adulto mayor / Cuidador</t>
  </si>
  <si>
    <t>Marcelo Acuña</t>
  </si>
  <si>
    <t>No iniciado</t>
  </si>
  <si>
    <t>RF06</t>
  </si>
  <si>
    <t>No hay un registro consolidado del historial de tomas.</t>
  </si>
  <si>
    <t>Registrar eventos (tomado, omitido, pospuesto) y generar informes.</t>
  </si>
  <si>
    <t>Para que el usuario o cuidador puedan visualizar y compartir el historial.</t>
  </si>
  <si>
    <t>Cuidador / Profesional de salud</t>
  </si>
  <si>
    <t>Generar reportes PDF con fecha, hora y motivo de cada acción.</t>
  </si>
  <si>
    <t>Abner Arboleda</t>
  </si>
  <si>
    <t>Media</t>
  </si>
  <si>
    <t>Se genera un PDF y se verifica que todos los eventos estén listados correctamente.</t>
  </si>
  <si>
    <t>Compatible con exportación a Excel.</t>
  </si>
  <si>
    <t>Informes de historial de medicación</t>
  </si>
  <si>
    <t>RF07</t>
  </si>
  <si>
    <t>El usuario no tiene seguimiento de síntomas o efectos secundarios.</t>
  </si>
  <si>
    <t>Registrar síntomas asociados a medicamentos.</t>
  </si>
  <si>
    <t>Para monitorear la evolución del tratamiento y posibles reacciones adversas.</t>
  </si>
  <si>
    <t>Seleccionar medicamento, ingresar tipo, intensidad, frecuencia y notas del síntoma.</t>
  </si>
  <si>
    <t>Christian Bonifaz</t>
  </si>
  <si>
    <t>Se guarda el síntoma y se muestra en el historial asociado al medicamento.</t>
  </si>
  <si>
    <t>Puede incluir íconos o categorías visuales.</t>
  </si>
  <si>
    <t>Seguimiento de síntomas</t>
  </si>
  <si>
    <t>RF08</t>
  </si>
  <si>
    <t>El cuidador gestiona varios pacientes y no puede separar información.</t>
  </si>
  <si>
    <t>Gestionar múltiples perfiles de usuario.</t>
  </si>
  <si>
    <t>Para administrar distintos pacientes dentro de la misma aplicación.</t>
  </si>
  <si>
    <t>Cuidador</t>
  </si>
  <si>
    <t>Crear, editar o eliminar perfiles con historiales independientes.</t>
  </si>
  <si>
    <t>Se crean y consultan perfiles distintos verificando independencia de datos.</t>
  </si>
  <si>
    <t>Facilita el trabajo de cuidadores.</t>
  </si>
  <si>
    <t>Gestión de perfiles múltiples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</si>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</sst>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9" fillId="5" borderId="5" xfId="0" applyFont="1" applyFill="1" applyBorder="1"/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10" fillId="6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vertical="center"/>
    </xf>
    <xf numFmtId="0" fontId="9" fillId="5" borderId="9" xfId="0" applyFont="1" applyFill="1" applyBorder="1"/>
    <xf numFmtId="0" fontId="9" fillId="5" borderId="10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28" xfId="0" applyFont="1" applyFill="1" applyBorder="1"/>
    <xf numFmtId="0" fontId="9" fillId="5" borderId="29" xfId="0" applyFont="1" applyFill="1" applyBorder="1"/>
    <xf numFmtId="0" fontId="9" fillId="5" borderId="30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6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7" fillId="7" borderId="1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0" borderId="17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7" fillId="7" borderId="12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9" borderId="12" xfId="0" applyFont="1" applyFill="1" applyBorder="1" applyAlignment="1">
      <alignment horizontal="center" vertical="center"/>
    </xf>
    <xf numFmtId="49" fontId="7" fillId="7" borderId="12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2"/>
  <sheetViews>
    <sheetView showGridLines="0" zoomScale="70" zoomScaleNormal="70" workbookViewId="0">
      <selection activeCell="D7" sqref="D7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5" width="20.59765625" customWidth="1"/>
    <col min="6" max="6" width="13.09765625" customWidth="1"/>
    <col min="7" max="7" width="32.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 x14ac:dyDescent="0.25">
      <c r="A6" s="1"/>
      <c r="B6" s="5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>
        <v>3</v>
      </c>
      <c r="J6" s="7">
        <v>45984</v>
      </c>
      <c r="K6" s="8" t="s">
        <v>25</v>
      </c>
      <c r="L6" s="6" t="s">
        <v>17</v>
      </c>
      <c r="M6" s="9" t="s">
        <v>26</v>
      </c>
      <c r="N6" s="6" t="s">
        <v>27</v>
      </c>
      <c r="O6" s="6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4.5" customHeight="1" x14ac:dyDescent="0.25">
      <c r="A7" s="1"/>
      <c r="B7" s="5" t="s">
        <v>29</v>
      </c>
      <c r="C7" s="6" t="s">
        <v>30</v>
      </c>
      <c r="D7" s="6" t="s">
        <v>31</v>
      </c>
      <c r="E7" s="6" t="s">
        <v>32</v>
      </c>
      <c r="F7" s="6" t="s">
        <v>15</v>
      </c>
      <c r="G7" s="6" t="s">
        <v>33</v>
      </c>
      <c r="H7" s="6" t="s">
        <v>34</v>
      </c>
      <c r="I7" s="6">
        <v>3</v>
      </c>
      <c r="J7" s="7">
        <v>45985</v>
      </c>
      <c r="K7" s="8" t="s">
        <v>25</v>
      </c>
      <c r="L7" s="6" t="s">
        <v>17</v>
      </c>
      <c r="M7" s="9" t="s">
        <v>35</v>
      </c>
      <c r="N7" s="6" t="s">
        <v>36</v>
      </c>
      <c r="O7" s="6" t="s">
        <v>37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1.5" customHeight="1" x14ac:dyDescent="0.25">
      <c r="A8" s="1"/>
      <c r="B8" s="5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16</v>
      </c>
      <c r="I8" s="6">
        <v>4</v>
      </c>
      <c r="J8" s="7">
        <v>45986</v>
      </c>
      <c r="K8" s="8" t="s">
        <v>25</v>
      </c>
      <c r="L8" s="6" t="s">
        <v>17</v>
      </c>
      <c r="M8" s="9" t="s">
        <v>44</v>
      </c>
      <c r="N8" s="6" t="s">
        <v>45</v>
      </c>
      <c r="O8" s="6" t="s">
        <v>46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5">
      <c r="A9" s="1"/>
      <c r="B9" s="1"/>
      <c r="C9" s="1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5">
      <c r="A10" s="1"/>
      <c r="B10" s="1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2"/>
      <c r="J17" s="2"/>
      <c r="K17" s="3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2"/>
      <c r="J18" s="2"/>
      <c r="K18" s="3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3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3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</sheetData>
  <mergeCells count="1">
    <mergeCell ref="B3:O3"/>
  </mergeCells>
  <conditionalFormatting sqref="L13:L16 L6:L8">
    <cfRule type="colorScale" priority="1">
      <colorScale>
        <cfvo type="min"/>
        <cfvo type="max"/>
        <color rgb="FF57BB8A"/>
        <color rgb="FFFFFFFF"/>
      </colorScale>
    </cfRule>
  </conditionalFormatting>
  <conditionalFormatting sqref="L7">
    <cfRule type="colorScale" priority="3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6:L8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tabSelected="1" workbookViewId="0">
      <selection activeCell="Q10" sqref="Q10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0"/>
      <c r="D4" s="10"/>
      <c r="E4" s="10"/>
      <c r="F4" s="11"/>
    </row>
    <row r="5" spans="1:26" ht="14.4" hidden="1" x14ac:dyDescent="0.3">
      <c r="C5" s="10"/>
      <c r="D5" s="10"/>
      <c r="E5" s="10"/>
      <c r="F5" s="11"/>
    </row>
    <row r="6" spans="1:26" ht="39.75" customHeight="1" x14ac:dyDescent="0.25">
      <c r="B6" s="69" t="s">
        <v>47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26" ht="9.75" customHeight="1" x14ac:dyDescent="0.25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9.75" customHeight="1" x14ac:dyDescent="0.3">
      <c r="B8" s="14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8"/>
      <c r="Q8" s="12"/>
    </row>
    <row r="9" spans="1:26" ht="30" customHeight="1" x14ac:dyDescent="0.25">
      <c r="B9" s="19"/>
      <c r="C9" s="20" t="s">
        <v>1</v>
      </c>
      <c r="D9" s="21"/>
      <c r="E9" s="52" t="s">
        <v>48</v>
      </c>
      <c r="F9" s="36"/>
      <c r="G9" s="21"/>
      <c r="H9" s="52" t="s">
        <v>11</v>
      </c>
      <c r="I9" s="36"/>
      <c r="J9" s="22"/>
      <c r="K9" s="22"/>
      <c r="L9" s="22"/>
      <c r="M9" s="22"/>
      <c r="N9" s="22"/>
      <c r="O9" s="22"/>
      <c r="P9" s="23"/>
      <c r="Q9" s="12"/>
    </row>
    <row r="10" spans="1:26" ht="30" customHeight="1" x14ac:dyDescent="0.25">
      <c r="B10" s="19"/>
      <c r="C10" s="24" t="s">
        <v>18</v>
      </c>
      <c r="D10" s="25"/>
      <c r="E10" s="70" t="str">
        <f>VLOOKUP(C10,'Formato descripción HU'!B6:O8,5,0)</f>
        <v>Cuidador / Profesional de salud</v>
      </c>
      <c r="F10" s="71"/>
      <c r="G10" s="26"/>
      <c r="H10" s="53" t="str">
        <f>VLOOKUP(C10,'Formato descripción HU'!B6:O8,11,0)</f>
        <v>No iniciado</v>
      </c>
      <c r="I10" s="36"/>
      <c r="J10" s="26"/>
      <c r="K10" s="22"/>
      <c r="L10" s="22"/>
      <c r="M10" s="22"/>
      <c r="N10" s="22"/>
      <c r="O10" s="22"/>
      <c r="P10" s="23"/>
      <c r="Q10" s="12"/>
    </row>
    <row r="11" spans="1:26" ht="9.75" customHeight="1" x14ac:dyDescent="0.25">
      <c r="A11" s="12"/>
      <c r="B11" s="19"/>
      <c r="C11" s="27"/>
      <c r="D11" s="25"/>
      <c r="E11" s="28"/>
      <c r="F11" s="28"/>
      <c r="G11" s="26"/>
      <c r="H11" s="28"/>
      <c r="I11" s="28"/>
      <c r="J11" s="26"/>
      <c r="K11" s="28"/>
      <c r="L11" s="28"/>
      <c r="M11" s="22"/>
      <c r="N11" s="28"/>
      <c r="O11" s="28"/>
      <c r="P11" s="2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25">
      <c r="A12" s="12"/>
      <c r="B12" s="19"/>
      <c r="C12" s="20" t="s">
        <v>49</v>
      </c>
      <c r="D12" s="25"/>
      <c r="E12" s="52" t="s">
        <v>10</v>
      </c>
      <c r="F12" s="36"/>
      <c r="G12" s="26"/>
      <c r="H12" s="52" t="s">
        <v>50</v>
      </c>
      <c r="I12" s="36"/>
      <c r="J12" s="26"/>
      <c r="K12" s="28"/>
      <c r="L12" s="28"/>
      <c r="M12" s="22"/>
      <c r="N12" s="28"/>
      <c r="O12" s="28"/>
      <c r="P12" s="2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25">
      <c r="A13" s="12"/>
      <c r="B13" s="19"/>
      <c r="C13" s="29">
        <f>VLOOKUP('Historia de Usuario'!C10,'Formato descripción HU'!B6:O8,8,0)</f>
        <v>3</v>
      </c>
      <c r="D13" s="25"/>
      <c r="E13" s="53" t="str">
        <f>VLOOKUP(C10,'Formato descripción HU'!B6:O8,10,0)</f>
        <v>Media</v>
      </c>
      <c r="F13" s="36"/>
      <c r="G13" s="26"/>
      <c r="H13" s="53" t="str">
        <f>VLOOKUP(C10,'Formato descripción HU'!B6:O8,7,0)</f>
        <v>Abner Arboleda</v>
      </c>
      <c r="I13" s="36"/>
      <c r="J13" s="26"/>
      <c r="K13" s="28"/>
      <c r="L13" s="28"/>
      <c r="M13" s="22"/>
      <c r="N13" s="28"/>
      <c r="O13" s="28"/>
      <c r="P13" s="2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.75" customHeight="1" x14ac:dyDescent="0.25">
      <c r="A14" s="12"/>
      <c r="B14" s="19"/>
      <c r="C14" s="22"/>
      <c r="D14" s="25"/>
      <c r="E14" s="22"/>
      <c r="F14" s="22"/>
      <c r="G14" s="26"/>
      <c r="H14" s="26"/>
      <c r="I14" s="22"/>
      <c r="J14" s="22"/>
      <c r="K14" s="22"/>
      <c r="L14" s="22"/>
      <c r="M14" s="22"/>
      <c r="N14" s="22"/>
      <c r="O14" s="22"/>
      <c r="P14" s="23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25">
      <c r="A15" s="12"/>
      <c r="B15" s="19"/>
      <c r="C15" s="54" t="s">
        <v>51</v>
      </c>
      <c r="D15" s="43" t="str">
        <f>VLOOKUP(C10,'Formato descripción HU'!B6:O8,3,0)</f>
        <v>Registrar eventos (tomado, omitido, pospuesto) y generar informes.</v>
      </c>
      <c r="E15" s="38"/>
      <c r="F15" s="30"/>
      <c r="G15" s="54" t="s">
        <v>52</v>
      </c>
      <c r="H15" s="43" t="str">
        <f>VLOOKUP(C10,'Formato descripción HU'!B6:O8,4,0)</f>
        <v>Para que el usuario o cuidador puedan visualizar y compartir el historial.</v>
      </c>
      <c r="I15" s="57"/>
      <c r="J15" s="38"/>
      <c r="K15" s="30"/>
      <c r="L15" s="54" t="s">
        <v>53</v>
      </c>
      <c r="M15" s="60" t="str">
        <f>VLOOKUP(C10,'Formato descripción HU'!B6:O8,6,0)</f>
        <v>Generar reportes PDF con fecha, hora y motivo de cada acción.</v>
      </c>
      <c r="N15" s="44"/>
      <c r="O15" s="45"/>
      <c r="P15" s="2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25">
      <c r="A16" s="12"/>
      <c r="B16" s="19"/>
      <c r="C16" s="55"/>
      <c r="D16" s="39"/>
      <c r="E16" s="40"/>
      <c r="F16" s="30"/>
      <c r="G16" s="55"/>
      <c r="H16" s="39"/>
      <c r="I16" s="58"/>
      <c r="J16" s="40"/>
      <c r="K16" s="30"/>
      <c r="L16" s="55"/>
      <c r="M16" s="46"/>
      <c r="N16" s="47"/>
      <c r="O16" s="48"/>
      <c r="P16" s="23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25">
      <c r="A17" s="12"/>
      <c r="B17" s="19"/>
      <c r="C17" s="56"/>
      <c r="D17" s="41"/>
      <c r="E17" s="42"/>
      <c r="F17" s="30"/>
      <c r="G17" s="56"/>
      <c r="H17" s="41"/>
      <c r="I17" s="59"/>
      <c r="J17" s="42"/>
      <c r="K17" s="30"/>
      <c r="L17" s="56"/>
      <c r="M17" s="49"/>
      <c r="N17" s="50"/>
      <c r="O17" s="51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.75" customHeight="1" x14ac:dyDescent="0.25">
      <c r="A18" s="12"/>
      <c r="B18" s="19"/>
      <c r="C18" s="22"/>
      <c r="D18" s="22"/>
      <c r="E18" s="22"/>
      <c r="F18" s="22"/>
      <c r="G18" s="26"/>
      <c r="H18" s="26"/>
      <c r="I18" s="26"/>
      <c r="J18" s="22"/>
      <c r="K18" s="22"/>
      <c r="L18" s="22"/>
      <c r="M18" s="22"/>
      <c r="N18" s="22"/>
      <c r="O18" s="22"/>
      <c r="P18" s="2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25">
      <c r="B19" s="19"/>
      <c r="C19" s="67" t="s">
        <v>54</v>
      </c>
      <c r="D19" s="38"/>
      <c r="E19" s="61" t="str">
        <f>VLOOKUP(C10,'Formato descripción HU'!B6:O8,14,0)</f>
        <v>Informes de historial de medicación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23"/>
      <c r="Q19" s="12"/>
    </row>
    <row r="20" spans="1:26" ht="19.5" customHeight="1" x14ac:dyDescent="0.25">
      <c r="B20" s="19"/>
      <c r="C20" s="41"/>
      <c r="D20" s="42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23"/>
      <c r="Q20" s="12"/>
    </row>
    <row r="21" spans="1:26" ht="9.75" customHeight="1" x14ac:dyDescent="0.25"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2"/>
    </row>
    <row r="22" spans="1:26" ht="19.5" customHeight="1" x14ac:dyDescent="0.25">
      <c r="A22" s="12"/>
      <c r="B22" s="19"/>
      <c r="C22" s="37" t="s">
        <v>55</v>
      </c>
      <c r="D22" s="38"/>
      <c r="E22" s="68" t="str">
        <f>VLOOKUP(C10,'Formato descripción HU'!B6:O8,12,0)</f>
        <v>Se genera un PDF y se verifica que todos los eventos estén listados correctamente.</v>
      </c>
      <c r="F22" s="44"/>
      <c r="G22" s="44"/>
      <c r="H22" s="45"/>
      <c r="I22" s="22"/>
      <c r="J22" s="37" t="s">
        <v>13</v>
      </c>
      <c r="K22" s="38"/>
      <c r="L22" s="43" t="str">
        <f>VLOOKUP(C10,'Formato descripción HU'!B6:O8,13,0)</f>
        <v>Compatible con exportación a Excel.</v>
      </c>
      <c r="M22" s="44"/>
      <c r="N22" s="44"/>
      <c r="O22" s="45"/>
      <c r="P22" s="2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25">
      <c r="A23" s="12"/>
      <c r="B23" s="19"/>
      <c r="C23" s="39"/>
      <c r="D23" s="40"/>
      <c r="E23" s="46"/>
      <c r="F23" s="47"/>
      <c r="G23" s="47"/>
      <c r="H23" s="48"/>
      <c r="I23" s="22"/>
      <c r="J23" s="39"/>
      <c r="K23" s="40"/>
      <c r="L23" s="46"/>
      <c r="M23" s="47"/>
      <c r="N23" s="47"/>
      <c r="O23" s="48"/>
      <c r="P23" s="2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25">
      <c r="A24" s="12"/>
      <c r="B24" s="19"/>
      <c r="C24" s="41"/>
      <c r="D24" s="42"/>
      <c r="E24" s="49"/>
      <c r="F24" s="50"/>
      <c r="G24" s="50"/>
      <c r="H24" s="51"/>
      <c r="I24" s="22"/>
      <c r="J24" s="41"/>
      <c r="K24" s="42"/>
      <c r="L24" s="49"/>
      <c r="M24" s="50"/>
      <c r="N24" s="50"/>
      <c r="O24" s="51"/>
      <c r="P24" s="2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.75" customHeight="1" x14ac:dyDescent="0.25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25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26" ht="19.5" customHeight="1" x14ac:dyDescent="0.2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26" ht="19.5" customHeight="1" x14ac:dyDescent="0.25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26" ht="19.5" customHeight="1" x14ac:dyDescent="0.25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26" ht="19.5" customHeight="1" x14ac:dyDescent="0.25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26" ht="19.5" customHeight="1" x14ac:dyDescent="0.25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26" ht="19.5" customHeight="1" x14ac:dyDescent="0.25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26" ht="19.5" customHeight="1" x14ac:dyDescent="0.25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26" ht="19.5" customHeight="1" x14ac:dyDescent="0.25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26" ht="19.5" customHeight="1" x14ac:dyDescent="0.25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26" ht="19.5" customHeight="1" x14ac:dyDescent="0.25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26" ht="19.5" customHeight="1" x14ac:dyDescent="0.25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26" ht="19.5" customHeight="1" x14ac:dyDescent="0.25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26" ht="19.5" customHeight="1" x14ac:dyDescent="0.25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26" ht="19.5" customHeight="1" x14ac:dyDescent="0.25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3:16" ht="19.5" customHeight="1" x14ac:dyDescent="0.25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3:16" ht="19.5" customHeight="1" x14ac:dyDescent="0.25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3:16" ht="19.5" customHeight="1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3:16" ht="19.5" customHeight="1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3:16" ht="19.5" customHeight="1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3:16" ht="19.5" customHeight="1" x14ac:dyDescent="0.25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3:16" ht="15.75" customHeight="1" x14ac:dyDescent="0.2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HU'!$B$6:$B$8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cmacuna@espe.edu.ec</cp:lastModifiedBy>
  <dcterms:created xsi:type="dcterms:W3CDTF">2025-11-11T12:29:14Z</dcterms:created>
  <dcterms:modified xsi:type="dcterms:W3CDTF">2025-12-16T12:46:40Z</dcterms:modified>
</cp:coreProperties>
</file>