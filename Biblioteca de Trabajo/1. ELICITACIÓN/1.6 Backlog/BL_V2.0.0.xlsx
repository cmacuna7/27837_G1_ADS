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C:\ESPE\Analisis&amp;Diseño\27837_G1_ADS\Biblioteca de Trabajo\1. ELICITACIÓN\1.6 Backlog\"/>
    </mc:Choice>
  </mc:AlternateContent>
  <xr:revisionPtr revIDLastSave="0" documentId="13_ncr:1_{85AC7F59-F656-4FF6-9AE2-4476880602A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cklog" sheetId="1" r:id="rId1"/>
    <sheet name="sprint0" sheetId="2" r:id="rId2"/>
    <sheet name="burdonchart (1)" sheetId="7" r:id="rId3"/>
    <sheet name="burdonchart (2)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T3" i="8" l="1"/>
  <c r="T4" i="8"/>
  <c r="T5" i="8"/>
  <c r="T6" i="8"/>
  <c r="T7" i="8"/>
  <c r="T8" i="8"/>
  <c r="T9" i="8"/>
  <c r="T10" i="8"/>
  <c r="T11" i="8"/>
  <c r="T12" i="8"/>
  <c r="T13" i="8"/>
  <c r="T14" i="8"/>
  <c r="C16" i="8"/>
  <c r="D16" i="8" s="1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C17" i="8"/>
  <c r="D17" i="8" s="1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6" i="7"/>
  <c r="T17" i="7"/>
  <c r="T13" i="7"/>
  <c r="T14" i="7"/>
  <c r="T12" i="7"/>
  <c r="T10" i="7"/>
  <c r="T11" i="7"/>
  <c r="T15" i="7"/>
  <c r="T3" i="7"/>
  <c r="T4" i="7"/>
  <c r="T5" i="7"/>
  <c r="T6" i="7"/>
  <c r="T7" i="7"/>
  <c r="T8" i="7"/>
  <c r="T9" i="7"/>
  <c r="T18" i="7"/>
  <c r="C20" i="7"/>
  <c r="D20" i="7" s="1"/>
  <c r="E20" i="7" s="1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C21" i="7"/>
  <c r="D21" i="7" s="1"/>
  <c r="E21" i="7" s="1"/>
  <c r="F21" i="7" s="1"/>
  <c r="G21" i="7" s="1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R21" i="7" s="1"/>
  <c r="S21" i="7" s="1"/>
</calcChain>
</file>

<file path=xl/sharedStrings.xml><?xml version="1.0" encoding="utf-8"?>
<sst xmlns="http://schemas.openxmlformats.org/spreadsheetml/2006/main" count="279" uniqueCount="138">
  <si>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</si>
  <si>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</si>
  <si>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</si>
  <si>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</si>
  <si>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</si>
  <si>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</si>
  <si>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</si>
  <si>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</si>
  <si>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ID</t>
  </si>
  <si>
    <t>Necesito</t>
  </si>
  <si>
    <t>así podre...</t>
  </si>
  <si>
    <t>Prioridad</t>
  </si>
  <si>
    <t>Status</t>
  </si>
  <si>
    <t>Estimado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</si>
  <si>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</si>
  <si>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</si>
  <si>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</si>
  <si>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</si>
  <si>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</si>
  <si>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</si>
  <si>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</si>
  <si>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</si>
  <si>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RF01-A</t>
  </si>
  <si>
    <t>Crear medicamento</t>
  </si>
  <si>
    <t>Usuario / Cuidador</t>
  </si>
  <si>
    <t>Registrar un nuevo medicamento con sus datos completos</t>
  </si>
  <si>
    <t>Mantener control inicial del tratamiento</t>
  </si>
  <si>
    <t>No Iniciado</t>
  </si>
  <si>
    <t>RF01-B</t>
  </si>
  <si>
    <t>Consultar medicamentos</t>
  </si>
  <si>
    <t>Visualizar la lista completa de medicamentos registrados</t>
  </si>
  <si>
    <t>Revisar rápidamente dosis, frecuencia y próximos horarios</t>
  </si>
  <si>
    <t>RF01-C</t>
  </si>
  <si>
    <t>Actualizar medicamento</t>
  </si>
  <si>
    <t>Editar los datos de un medicamento existente</t>
  </si>
  <si>
    <t>Mantener información actualizada y evitar confusiones</t>
  </si>
  <si>
    <t>RF01-D</t>
  </si>
  <si>
    <t>Eliminar medicamento</t>
  </si>
  <si>
    <t>Borrar un medicamento registrado</t>
  </si>
  <si>
    <t>Evitar acumulación y confusión en la lista de medicamentos</t>
  </si>
  <si>
    <t>RF02</t>
  </si>
  <si>
    <t>Recordatorios de medicación</t>
  </si>
  <si>
    <t>Recibir alertas de hora de toma</t>
  </si>
  <si>
    <t>Cumplir el tratamiento sin olvidos</t>
  </si>
  <si>
    <t>Marcelo Acuña</t>
  </si>
  <si>
    <t>Abner Arboleda</t>
  </si>
  <si>
    <t>Christian Bonifaz</t>
  </si>
  <si>
    <t>Tareas</t>
  </si>
  <si>
    <t>Asignado</t>
  </si>
  <si>
    <t>RF01-A – Crear medicamento</t>
  </si>
  <si>
    <t>Registrar un nuevo medicamento con todos sus datos</t>
  </si>
  <si>
    <t>Iniciar la gestión del tratamiento</t>
  </si>
  <si>
    <t>RF01-A-1</t>
  </si>
  <si>
    <t>RF01-A-2</t>
  </si>
  <si>
    <t>RF01-A-3</t>
  </si>
  <si>
    <t>RF01-A-4</t>
  </si>
  <si>
    <t>Maquetar formulario de registro de medicamentos</t>
  </si>
  <si>
    <t>Implementar validación de campos obligatorios</t>
  </si>
  <si>
    <t>Guardar medicamento en la base de datos</t>
  </si>
  <si>
    <t>Mostrar mensaje de confirmación al registrar</t>
  </si>
  <si>
    <t>Ver la lista completa de medicamentos registrados</t>
  </si>
  <si>
    <t>Revisar dosis, horarios y frecuencia</t>
  </si>
  <si>
    <t>RF01-B-1</t>
  </si>
  <si>
    <t>RF01-B-2</t>
  </si>
  <si>
    <t>RF01-B-3</t>
  </si>
  <si>
    <t>Crear interfaz de listado de medicamentos</t>
  </si>
  <si>
    <t>Mostrar detalles: nombre, dosis, frecuencia, ícono</t>
  </si>
  <si>
    <t>Configurar actualización dinámica del listado</t>
  </si>
  <si>
    <t>Editar medicamento</t>
  </si>
  <si>
    <t>Modificar datos de un medicamento existente</t>
  </si>
  <si>
    <t>Mantener la información actualizada</t>
  </si>
  <si>
    <t>RF01-C-1</t>
  </si>
  <si>
    <t>RF01-C-2</t>
  </si>
  <si>
    <t>RF01-C-3</t>
  </si>
  <si>
    <t>Crear formulario de edición</t>
  </si>
  <si>
    <t>Cargar datos del medicamento seleccionado</t>
  </si>
  <si>
    <t>Implementar actualización en la base de datos</t>
  </si>
  <si>
    <t>Evitar confusiones con medicamentos obsoletos</t>
  </si>
  <si>
    <t>RF01-D-1</t>
  </si>
  <si>
    <t>RF01-D-2</t>
  </si>
  <si>
    <t>RF01-D-3</t>
  </si>
  <si>
    <t>Agregar botón de eliminación</t>
  </si>
  <si>
    <t>Confirmación de eliminación (modal o alerta)</t>
  </si>
  <si>
    <t>Eliminar el registro de la base</t>
  </si>
  <si>
    <t>RF02-1</t>
  </si>
  <si>
    <t>RF02-2</t>
  </si>
  <si>
    <t>RF02-3</t>
  </si>
  <si>
    <t>Recibir alertas en los horarios programados</t>
  </si>
  <si>
    <t>Crear módulo de programación de recordatorios</t>
  </si>
  <si>
    <t>Implementar notificaciones (visual/sonora)</t>
  </si>
  <si>
    <r>
      <t xml:space="preserve">Registrar evento de toma: </t>
    </r>
    <r>
      <rPr>
        <i/>
        <sz val="10"/>
        <color rgb="FF000000"/>
        <rFont val="Arial"/>
        <family val="2"/>
        <scheme val="minor"/>
      </rPr>
      <t>tomado/omitido/pospuesto</t>
    </r>
  </si>
  <si>
    <t>RECOMENDACIÓN</t>
  </si>
  <si>
    <t>COCLUSION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</si>
  <si>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</si>
  <si>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</si>
  <si>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</si>
  <si>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</si>
  <si>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</si>
  <si>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</si>
  <si>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</si>
  <si>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</si>
  <si>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</si>
  <si>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</si>
  <si>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</si>
  <si>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Informes de historial de medicación</t>
  </si>
  <si>
    <t>Cuidador / Profesional de salud</t>
  </si>
  <si>
    <t>Registrar eventos de toma (tomado, omitido, pospuesto) y generar informes</t>
  </si>
  <si>
    <t>Visualizar y compartir el historial completo de medicación con fechas y motivos</t>
  </si>
  <si>
    <t>Compatible con exportación a PDF y Excel</t>
  </si>
  <si>
    <t>Media</t>
  </si>
  <si>
    <t>No iniciado</t>
  </si>
  <si>
    <t>Seguimiento de síntomas</t>
  </si>
  <si>
    <t>Usuario adulto mayor / Cuidador</t>
  </si>
  <si>
    <t>Registrar síntomas asociados a medicamentos</t>
  </si>
  <si>
    <t>Monitorear la evolución del tratamiento y detectar efectos secundarios</t>
  </si>
  <si>
    <t>Puede incluir íconos o categorías visuales</t>
  </si>
  <si>
    <t>RF06</t>
  </si>
  <si>
    <t>RF07</t>
  </si>
  <si>
    <t>RF06 - Informes de historial de medicación</t>
  </si>
  <si>
    <t>Visualizar y compartir el historial completo del tratamiento</t>
  </si>
  <si>
    <t>Compatible con exportación PDF y Excel</t>
  </si>
  <si>
    <t>RF06-1</t>
  </si>
  <si>
    <t>Diseñar estructura del historial de eventos</t>
  </si>
  <si>
    <t>RF06-2</t>
  </si>
  <si>
    <t>Registrar eventos de toma con fecha, hora y motivo</t>
  </si>
  <si>
    <t>RF06-3</t>
  </si>
  <si>
    <t>Generar reporte en formato PDF</t>
  </si>
  <si>
    <t>RF06-4</t>
  </si>
  <si>
    <t>Implementar exportación opcional a Excel</t>
  </si>
  <si>
    <t>Uso de íconos o categorías visuales</t>
  </si>
  <si>
    <t>RF07-1</t>
  </si>
  <si>
    <t>Crear formulario de registro de síntomas</t>
  </si>
  <si>
    <t>RF07-2</t>
  </si>
  <si>
    <t>Asociar síntomas a medicamentos específicos</t>
  </si>
  <si>
    <t>RF07-3</t>
  </si>
  <si>
    <t>Guardar síntomas en el historial del medicamento</t>
  </si>
  <si>
    <t>RF07-4</t>
  </si>
  <si>
    <t>Mostrar síntomas en vista histórica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</si>
</sst>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0"/>
      <color rgb="FF000000"/>
      <name val="Arial"/>
      <scheme val="minor"/>
    </font>
    <font>
      <b/>
      <sz val="12"/>
      <color rgb="FFFF0000"/>
      <name val="Arial"/>
    </font>
    <font>
      <sz val="12"/>
      <color rgb="FFFF0000"/>
      <name val="Arial"/>
    </font>
    <font>
      <sz val="10"/>
      <color rgb="FF2F5496"/>
      <name val="Arial"/>
    </font>
    <font>
      <sz val="10"/>
      <color rgb="FF0000FF"/>
      <name val="Arial"/>
    </font>
    <font>
      <sz val="10"/>
      <color rgb="FF0000FF"/>
      <name val="Roboto"/>
    </font>
    <font>
      <b/>
      <sz val="10"/>
      <color theme="1"/>
      <name val="Arial"/>
      <family val="2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sz val="10"/>
      <color theme="4" tint="-0.249977111117893"/>
      <name val="Arial"/>
      <family val="2"/>
    </font>
    <font>
      <b/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sz val="8"/>
      <name val="Arial"/>
      <scheme val="minor"/>
    </font>
    <font>
      <i/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sz val="11"/>
      <color rgb="FF000000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rgb="FF0000FF"/>
      <name val="Times New Roman"/>
    </font>
    <font>
      <sz val="11"/>
      <name val="Times New Roman"/>
    </font>
    <font>
      <b/>
      <sz val="11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2"/>
  </cellStyleXfs>
  <cellXfs count="48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0" fillId="0" borderId="0" xfId="0"/>
    <xf numFmtId="0" fontId="11" fillId="0" borderId="0" xfId="0" applyFont="1" applyAlignment="1">
      <alignment wrapText="1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15" fillId="0" borderId="2" xfId="1" applyFont="1"/>
    <xf numFmtId="0" fontId="16" fillId="0" borderId="1" xfId="1" applyFont="1" applyBorder="1" applyAlignment="1">
      <alignment horizontal="center" vertical="center"/>
    </xf>
    <xf numFmtId="0" fontId="17" fillId="4" borderId="1" xfId="1" applyFont="1" applyFill="1" applyBorder="1" applyAlignment="1">
      <alignment horizontal="center" vertical="center" wrapText="1"/>
    </xf>
    <xf numFmtId="0" fontId="17" fillId="4" borderId="1" xfId="1" applyFont="1" applyFill="1" applyBorder="1" applyAlignment="1">
      <alignment horizontal="center" vertical="center"/>
    </xf>
    <xf numFmtId="0" fontId="16" fillId="3" borderId="8" xfId="1" applyFont="1" applyFill="1" applyBorder="1" applyAlignment="1">
      <alignment horizontal="center" vertical="center"/>
    </xf>
    <xf numFmtId="0" fontId="16" fillId="6" borderId="9" xfId="1" applyFont="1" applyFill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6" fillId="0" borderId="2" xfId="1" applyFont="1"/>
    <xf numFmtId="0" fontId="19" fillId="0" borderId="1" xfId="1" applyFont="1" applyBorder="1" applyAlignment="1">
      <alignment horizontal="center" vertical="center"/>
    </xf>
    <xf numFmtId="0" fontId="18" fillId="0" borderId="8" xfId="1" applyFont="1" applyBorder="1" applyAlignment="1">
      <alignment horizontal="center" vertical="center"/>
    </xf>
    <xf numFmtId="0" fontId="20" fillId="0" borderId="2" xfId="1" applyFont="1"/>
    <xf numFmtId="0" fontId="17" fillId="0" borderId="1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17" fillId="0" borderId="2" xfId="1" applyFont="1" applyAlignment="1">
      <alignment horizontal="center" vertical="center"/>
    </xf>
    <xf numFmtId="0" fontId="16" fillId="3" borderId="12" xfId="1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8" fillId="5" borderId="0" xfId="0" applyFont="1" applyFill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15" fillId="0" borderId="2" xfId="1" applyFont="1" applyAlignment="1">
      <alignment horizontal="center" vertical="center" wrapText="1"/>
    </xf>
    <xf numFmtId="0" fontId="15" fillId="0" borderId="6" xfId="1" applyFont="1" applyBorder="1" applyAlignment="1">
      <alignment horizontal="center" vertical="center" wrapText="1"/>
    </xf>
    <xf numFmtId="0" fontId="15" fillId="0" borderId="5" xfId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0" fontId="16" fillId="3" borderId="1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E60A91F3-5F66-40EF-8C40-9C5D2A9E1E3E}"/>
  </cellStyles>
  <dxfs count="11">
    <dxf>
      <font>
        <sz val="11"/>
        <name val="Times New Roman"/>
      </font>
      <numFmt numFmtId="0" formatCode="General"/>
      <alignment horizontal="center" vertical="center"/>
      <border>
        <left/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name val="Times New Roman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1"/>
        <name val="Times New Roman"/>
      </font>
      <alignment horizontal="center" vertical="center"/>
    </dxf>
    <dxf>
      <font>
        <sz val="11"/>
        <name val="Times New Roman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1"/>
        <name val="Times New Roman"/>
      </font>
      <numFmt numFmtId="0" formatCode="General"/>
      <alignment horizontal="center" vertical="center"/>
      <border>
        <left/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name val="Times New Roman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1"/>
        <name val="Times New Roman"/>
      </font>
      <alignment horizontal="center" vertical="center"/>
    </dxf>
    <dxf>
      <font>
        <sz val="11"/>
        <name val="Times New Roman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tx>
            <c:v>Horas Estimadas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(1)'!$B$20:$S$20</c:f>
              <c:numCache>
                <c:formatCode>General</c:formatCode>
                <c:ptCount val="18"/>
                <c:pt idx="0">
                  <c:v>0</c:v>
                </c:pt>
                <c:pt idx="1">
                  <c:v>36</c:v>
                </c:pt>
                <c:pt idx="2">
                  <c:v>33</c:v>
                </c:pt>
                <c:pt idx="3">
                  <c:v>32</c:v>
                </c:pt>
                <c:pt idx="4">
                  <c:v>29</c:v>
                </c:pt>
                <c:pt idx="5">
                  <c:v>26</c:v>
                </c:pt>
                <c:pt idx="6">
                  <c:v>24</c:v>
                </c:pt>
                <c:pt idx="7">
                  <c:v>23</c:v>
                </c:pt>
                <c:pt idx="8">
                  <c:v>22</c:v>
                </c:pt>
                <c:pt idx="9">
                  <c:v>19</c:v>
                </c:pt>
                <c:pt idx="10">
                  <c:v>17</c:v>
                </c:pt>
                <c:pt idx="11">
                  <c:v>16</c:v>
                </c:pt>
                <c:pt idx="12">
                  <c:v>15</c:v>
                </c:pt>
                <c:pt idx="13">
                  <c:v>12</c:v>
                </c:pt>
                <c:pt idx="14">
                  <c:v>10</c:v>
                </c:pt>
                <c:pt idx="15">
                  <c:v>8</c:v>
                </c:pt>
                <c:pt idx="16">
                  <c:v>7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D3-4F91-A106-6FE05EC584DB}"/>
            </c:ext>
          </c:extLst>
        </c:ser>
        <c:ser>
          <c:idx val="1"/>
          <c:order val="1"/>
          <c:tx>
            <c:v>Horas Restantes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(1)'!$B$21:$S$21</c:f>
              <c:numCache>
                <c:formatCode>General</c:formatCode>
                <c:ptCount val="18"/>
                <c:pt idx="0">
                  <c:v>0</c:v>
                </c:pt>
                <c:pt idx="1">
                  <c:v>36</c:v>
                </c:pt>
                <c:pt idx="2">
                  <c:v>33.75</c:v>
                </c:pt>
                <c:pt idx="3">
                  <c:v>31.5</c:v>
                </c:pt>
                <c:pt idx="4">
                  <c:v>29.25</c:v>
                </c:pt>
                <c:pt idx="5">
                  <c:v>27</c:v>
                </c:pt>
                <c:pt idx="6">
                  <c:v>24.75</c:v>
                </c:pt>
                <c:pt idx="7">
                  <c:v>22.5</c:v>
                </c:pt>
                <c:pt idx="8">
                  <c:v>20.25</c:v>
                </c:pt>
                <c:pt idx="9">
                  <c:v>18</c:v>
                </c:pt>
                <c:pt idx="10">
                  <c:v>15.75</c:v>
                </c:pt>
                <c:pt idx="11">
                  <c:v>13.5</c:v>
                </c:pt>
                <c:pt idx="12">
                  <c:v>11.25</c:v>
                </c:pt>
                <c:pt idx="13">
                  <c:v>9</c:v>
                </c:pt>
                <c:pt idx="14">
                  <c:v>6.75</c:v>
                </c:pt>
                <c:pt idx="15">
                  <c:v>4.5</c:v>
                </c:pt>
                <c:pt idx="16">
                  <c:v>2.25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D3-4F91-A106-6FE05EC58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555524"/>
        <c:axId val="2087969067"/>
      </c:lineChart>
      <c:catAx>
        <c:axId val="4165555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87969067"/>
        <c:crosses val="autoZero"/>
        <c:auto val="1"/>
        <c:lblAlgn val="ctr"/>
        <c:lblOffset val="100"/>
        <c:noMultiLvlLbl val="1"/>
      </c:catAx>
      <c:valAx>
        <c:axId val="20879690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165555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tx>
            <c:v>Horas Estimadas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(2)'!$B$16:$S$16</c:f>
              <c:numCache>
                <c:formatCode>General</c:formatCode>
                <c:ptCount val="18"/>
                <c:pt idx="0">
                  <c:v>0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18</c:v>
                </c:pt>
                <c:pt idx="7">
                  <c:v>16</c:v>
                </c:pt>
                <c:pt idx="8">
                  <c:v>15</c:v>
                </c:pt>
                <c:pt idx="9">
                  <c:v>13</c:v>
                </c:pt>
                <c:pt idx="10">
                  <c:v>11</c:v>
                </c:pt>
                <c:pt idx="11">
                  <c:v>8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17-46E1-A567-C9E39E1A1463}"/>
            </c:ext>
          </c:extLst>
        </c:ser>
        <c:ser>
          <c:idx val="1"/>
          <c:order val="1"/>
          <c:tx>
            <c:v>Horas Restantes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(2)'!$B$17:$S$17</c:f>
              <c:numCache>
                <c:formatCode>General</c:formatCode>
                <c:ptCount val="18"/>
                <c:pt idx="0">
                  <c:v>0</c:v>
                </c:pt>
                <c:pt idx="1">
                  <c:v>19</c:v>
                </c:pt>
                <c:pt idx="2">
                  <c:v>17.8125</c:v>
                </c:pt>
                <c:pt idx="3">
                  <c:v>16.625</c:v>
                </c:pt>
                <c:pt idx="4">
                  <c:v>15.4375</c:v>
                </c:pt>
                <c:pt idx="5">
                  <c:v>14.25</c:v>
                </c:pt>
                <c:pt idx="6">
                  <c:v>13.0625</c:v>
                </c:pt>
                <c:pt idx="7">
                  <c:v>11.875</c:v>
                </c:pt>
                <c:pt idx="8">
                  <c:v>10.6875</c:v>
                </c:pt>
                <c:pt idx="9">
                  <c:v>9.5</c:v>
                </c:pt>
                <c:pt idx="10">
                  <c:v>8.3125</c:v>
                </c:pt>
                <c:pt idx="11">
                  <c:v>7.125</c:v>
                </c:pt>
                <c:pt idx="12">
                  <c:v>5.9375</c:v>
                </c:pt>
                <c:pt idx="13">
                  <c:v>4.75</c:v>
                </c:pt>
                <c:pt idx="14">
                  <c:v>3.5625</c:v>
                </c:pt>
                <c:pt idx="15">
                  <c:v>2.375</c:v>
                </c:pt>
                <c:pt idx="16">
                  <c:v>1.1875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17-46E1-A567-C9E39E1A1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555524"/>
        <c:axId val="2087969067"/>
      </c:lineChart>
      <c:catAx>
        <c:axId val="4165555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87969067"/>
        <c:crosses val="autoZero"/>
        <c:auto val="1"/>
        <c:lblAlgn val="ctr"/>
        <c:lblOffset val="100"/>
        <c:noMultiLvlLbl val="1"/>
      </c:catAx>
      <c:valAx>
        <c:axId val="20879690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165555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1</xdr:row>
      <xdr:rowOff>209550</xdr:rowOff>
    </xdr:from>
    <xdr:ext cx="6372225" cy="3914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3EADED57-771E-4044-AFB1-E7E8BC2338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1</xdr:row>
      <xdr:rowOff>209550</xdr:rowOff>
    </xdr:from>
    <xdr:ext cx="6372225" cy="3914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108BE0A8-13DD-40D3-9141-8BF7250912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A7F96F-7AE8-4295-9FFC-8CF12F936BC8}" name="Table_13" displayName="Table_13" ref="T3:T18" headerRowCount="0" headerRowDxfId="7" dataDxfId="6" totalsRowDxfId="5">
  <tableColumns count="1">
    <tableColumn id="1" xr3:uid="{00000000-0010-0000-0000-000001000000}" name="Column1" dataDxfId="4">
      <calculatedColumnFormula>SUM(D3:S3)</calculatedColumnFormula>
    </tableColumn>
  </tableColumns>
  <tableStyleInfo name="burdonchar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49FBA2-8954-4409-A0D7-AC5E2381460C}" name="Table_134" displayName="Table_134" ref="T3:T14" headerRowCount="0" headerRowDxfId="3" dataDxfId="2" totalsRowDxfId="1">
  <tableColumns count="1">
    <tableColumn id="1" xr3:uid="{00000000-0010-0000-0000-000001000000}" name="Column1" dataDxfId="0">
      <calculatedColumnFormula>SUM(D3:S3)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6"/>
  <sheetViews>
    <sheetView topLeftCell="B1" workbookViewId="0">
      <selection activeCell="B12" sqref="B12"/>
    </sheetView>
  </sheetViews>
  <sheetFormatPr baseColWidth="10" defaultColWidth="12.5546875" defaultRowHeight="15" customHeight="1" x14ac:dyDescent="0.25"/>
  <cols>
    <col min="1" max="1" width="12.44140625" customWidth="1"/>
    <col min="2" max="2" width="30.33203125" customWidth="1"/>
    <col min="3" max="3" width="36" customWidth="1"/>
    <col min="4" max="4" width="41.44140625" customWidth="1"/>
    <col min="5" max="5" width="54.44140625" customWidth="1"/>
    <col min="6" max="6" width="22.88671875" customWidth="1"/>
    <col min="7" max="26" width="12.44140625" customWidth="1"/>
  </cols>
  <sheetData>
    <row r="1" spans="1:26" ht="15.75" customHeight="1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6" customFormat="1" ht="26.4" x14ac:dyDescent="0.25">
      <c r="A2" s="3" t="s">
        <v>22</v>
      </c>
      <c r="B2" s="4" t="s">
        <v>23</v>
      </c>
      <c r="C2" s="7" t="s">
        <v>24</v>
      </c>
      <c r="D2" s="7" t="s">
        <v>25</v>
      </c>
      <c r="E2" s="7" t="s">
        <v>26</v>
      </c>
      <c r="F2" s="7"/>
      <c r="G2" s="7" t="s">
        <v>7</v>
      </c>
      <c r="H2" s="7" t="s">
        <v>27</v>
      </c>
    </row>
    <row r="3" spans="1:26" ht="26.4" x14ac:dyDescent="0.25">
      <c r="A3" s="3" t="s">
        <v>28</v>
      </c>
      <c r="B3" s="4" t="s">
        <v>29</v>
      </c>
      <c r="C3" s="7" t="s">
        <v>24</v>
      </c>
      <c r="D3" s="10" t="s">
        <v>30</v>
      </c>
      <c r="E3" s="7" t="s">
        <v>31</v>
      </c>
      <c r="F3" s="7"/>
      <c r="G3" s="7" t="s">
        <v>7</v>
      </c>
      <c r="H3" s="7" t="s">
        <v>27</v>
      </c>
    </row>
    <row r="4" spans="1:26" ht="13.2" x14ac:dyDescent="0.25">
      <c r="A4" s="3" t="s">
        <v>32</v>
      </c>
      <c r="B4" s="4" t="s">
        <v>33</v>
      </c>
      <c r="C4" s="7" t="s">
        <v>24</v>
      </c>
      <c r="D4" s="9" t="s">
        <v>34</v>
      </c>
      <c r="E4" s="7" t="s">
        <v>35</v>
      </c>
      <c r="F4" s="7"/>
      <c r="G4" s="7" t="s">
        <v>7</v>
      </c>
      <c r="H4" s="7" t="s">
        <v>27</v>
      </c>
    </row>
    <row r="5" spans="1:26" ht="13.2" x14ac:dyDescent="0.25">
      <c r="A5" s="3" t="s">
        <v>36</v>
      </c>
      <c r="B5" s="4" t="s">
        <v>37</v>
      </c>
      <c r="C5" s="7" t="s">
        <v>24</v>
      </c>
      <c r="D5" s="8" t="s">
        <v>38</v>
      </c>
      <c r="E5" s="7" t="s">
        <v>39</v>
      </c>
      <c r="F5" s="7"/>
      <c r="G5" s="7" t="s">
        <v>7</v>
      </c>
      <c r="H5" s="7" t="s">
        <v>27</v>
      </c>
    </row>
    <row r="6" spans="1:26" ht="15.75" customHeight="1" x14ac:dyDescent="0.25">
      <c r="A6" s="3" t="s">
        <v>40</v>
      </c>
      <c r="B6" s="4" t="s">
        <v>41</v>
      </c>
      <c r="C6" s="7" t="s">
        <v>24</v>
      </c>
      <c r="D6" s="9" t="s">
        <v>42</v>
      </c>
      <c r="E6" s="7" t="s">
        <v>43</v>
      </c>
      <c r="F6" s="7"/>
      <c r="G6" s="7" t="s">
        <v>7</v>
      </c>
      <c r="H6" s="7" t="s">
        <v>27</v>
      </c>
    </row>
    <row r="7" spans="1:26" s="39" customFormat="1" ht="23.4" customHeight="1" x14ac:dyDescent="0.25">
      <c r="A7" s="4" t="s">
        <v>116</v>
      </c>
      <c r="B7" s="4" t="s">
        <v>104</v>
      </c>
      <c r="C7" s="4" t="s">
        <v>105</v>
      </c>
      <c r="D7" s="4" t="s">
        <v>106</v>
      </c>
      <c r="E7" s="4" t="s">
        <v>107</v>
      </c>
      <c r="F7" s="4" t="s">
        <v>108</v>
      </c>
      <c r="G7" s="4" t="s">
        <v>109</v>
      </c>
      <c r="H7" s="4" t="s">
        <v>110</v>
      </c>
    </row>
    <row r="8" spans="1:26" s="18" customFormat="1" ht="26.4" x14ac:dyDescent="0.25">
      <c r="A8" s="4" t="s">
        <v>117</v>
      </c>
      <c r="B8" s="4" t="s">
        <v>111</v>
      </c>
      <c r="C8" s="4" t="s">
        <v>112</v>
      </c>
      <c r="D8" s="4" t="s">
        <v>113</v>
      </c>
      <c r="E8" s="4" t="s">
        <v>114</v>
      </c>
      <c r="F8" s="4" t="s">
        <v>115</v>
      </c>
      <c r="G8" s="4" t="s">
        <v>109</v>
      </c>
      <c r="H8" s="4" t="s">
        <v>110</v>
      </c>
    </row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phoneticPr fontId="12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53"/>
  <sheetViews>
    <sheetView zoomScale="70" zoomScaleNormal="70" workbookViewId="0">
      <selection activeCell="G37" sqref="G37"/>
    </sheetView>
  </sheetViews>
  <sheetFormatPr baseColWidth="10" defaultColWidth="12.5546875" defaultRowHeight="15" customHeight="1" x14ac:dyDescent="0.25"/>
  <cols>
    <col min="1" max="2" width="12.44140625" customWidth="1"/>
    <col min="3" max="3" width="71.33203125" bestFit="1" customWidth="1"/>
    <col min="4" max="4" width="17" bestFit="1" customWidth="1"/>
    <col min="5" max="5" width="82" bestFit="1" customWidth="1"/>
    <col min="6" max="6" width="56.109375" customWidth="1"/>
    <col min="7" max="7" width="15.77734375" bestFit="1" customWidth="1"/>
    <col min="8" max="27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/>
    <row r="4" spans="2:9" ht="15.75" customHeight="1" x14ac:dyDescent="0.25"/>
    <row r="5" spans="2:9" ht="15.75" customHeight="1" x14ac:dyDescent="0.25">
      <c r="B5" s="12" t="s">
        <v>8</v>
      </c>
      <c r="C5" s="12" t="s">
        <v>0</v>
      </c>
      <c r="D5" s="12" t="s">
        <v>1</v>
      </c>
      <c r="E5" s="12" t="s">
        <v>9</v>
      </c>
      <c r="F5" s="12" t="s">
        <v>10</v>
      </c>
      <c r="G5" s="12" t="s">
        <v>4</v>
      </c>
      <c r="H5" s="12" t="s">
        <v>11</v>
      </c>
      <c r="I5" s="12" t="s">
        <v>12</v>
      </c>
    </row>
    <row r="6" spans="2:9" ht="13.2" x14ac:dyDescent="0.25">
      <c r="B6" s="20" t="s">
        <v>22</v>
      </c>
      <c r="C6" s="20" t="s">
        <v>49</v>
      </c>
      <c r="D6" s="20" t="s">
        <v>24</v>
      </c>
      <c r="E6" s="20" t="s">
        <v>50</v>
      </c>
      <c r="F6" s="21" t="s">
        <v>51</v>
      </c>
      <c r="G6" s="22"/>
      <c r="H6" s="20" t="s">
        <v>7</v>
      </c>
      <c r="I6" s="20" t="s">
        <v>27</v>
      </c>
    </row>
    <row r="7" spans="2:9" ht="15.75" customHeight="1" x14ac:dyDescent="0.25">
      <c r="B7" s="13"/>
      <c r="C7" s="14" t="s">
        <v>47</v>
      </c>
      <c r="D7" s="13"/>
      <c r="E7" s="13"/>
      <c r="F7" s="13"/>
      <c r="G7" s="14" t="s">
        <v>48</v>
      </c>
      <c r="H7" s="13"/>
      <c r="I7" s="14" t="s">
        <v>13</v>
      </c>
    </row>
    <row r="8" spans="2:9" ht="15.75" customHeight="1" x14ac:dyDescent="0.25">
      <c r="B8" s="13" t="s">
        <v>52</v>
      </c>
      <c r="C8" s="13" t="s">
        <v>56</v>
      </c>
      <c r="D8" s="15"/>
      <c r="E8" s="15"/>
      <c r="F8" s="15"/>
      <c r="G8" s="13" t="s">
        <v>44</v>
      </c>
      <c r="H8" s="13"/>
      <c r="I8" s="16">
        <v>2</v>
      </c>
    </row>
    <row r="9" spans="2:9" ht="15.75" customHeight="1" x14ac:dyDescent="0.25">
      <c r="B9" s="13" t="s">
        <v>53</v>
      </c>
      <c r="C9" s="13" t="s">
        <v>57</v>
      </c>
      <c r="D9" s="15"/>
      <c r="E9" s="15"/>
      <c r="F9" s="15"/>
      <c r="G9" s="13" t="s">
        <v>44</v>
      </c>
      <c r="H9" s="13"/>
      <c r="I9" s="16">
        <v>2</v>
      </c>
    </row>
    <row r="10" spans="2:9" ht="13.2" x14ac:dyDescent="0.25">
      <c r="B10" s="13" t="s">
        <v>54</v>
      </c>
      <c r="C10" s="13" t="s">
        <v>58</v>
      </c>
      <c r="D10" s="19"/>
      <c r="E10" s="19"/>
      <c r="F10" s="19"/>
      <c r="G10" s="13" t="s">
        <v>44</v>
      </c>
      <c r="H10" s="13"/>
      <c r="I10" s="16">
        <v>3</v>
      </c>
    </row>
    <row r="11" spans="2:9" ht="15.75" customHeight="1" x14ac:dyDescent="0.25">
      <c r="B11" s="13" t="s">
        <v>55</v>
      </c>
      <c r="C11" s="13" t="s">
        <v>59</v>
      </c>
      <c r="D11" s="15"/>
      <c r="E11" s="15"/>
      <c r="F11" s="15"/>
      <c r="G11" s="13" t="s">
        <v>44</v>
      </c>
      <c r="H11" s="13"/>
      <c r="I11" s="16">
        <v>1</v>
      </c>
    </row>
    <row r="12" spans="2:9" ht="15.75" customHeight="1" x14ac:dyDescent="0.25">
      <c r="B12" s="13"/>
      <c r="C12" s="13"/>
      <c r="D12" s="15"/>
      <c r="E12" s="15"/>
      <c r="F12" s="15"/>
      <c r="G12" s="13"/>
      <c r="H12" s="13"/>
      <c r="I12" s="16"/>
    </row>
    <row r="13" spans="2:9" ht="15.75" customHeight="1" x14ac:dyDescent="0.25">
      <c r="B13" s="20" t="s">
        <v>28</v>
      </c>
      <c r="C13" s="20" t="s">
        <v>29</v>
      </c>
      <c r="D13" s="20" t="s">
        <v>24</v>
      </c>
      <c r="E13" s="20" t="s">
        <v>60</v>
      </c>
      <c r="F13" s="21" t="s">
        <v>61</v>
      </c>
      <c r="G13" s="22"/>
      <c r="H13" s="20" t="s">
        <v>7</v>
      </c>
      <c r="I13" s="20" t="s">
        <v>27</v>
      </c>
    </row>
    <row r="14" spans="2:9" ht="15.75" customHeight="1" x14ac:dyDescent="0.25">
      <c r="B14" s="13"/>
      <c r="C14" s="14" t="s">
        <v>47</v>
      </c>
      <c r="D14" s="15"/>
      <c r="E14" s="15"/>
      <c r="F14" s="15"/>
      <c r="G14" s="14" t="s">
        <v>48</v>
      </c>
      <c r="H14" s="15"/>
      <c r="I14" s="16" t="s">
        <v>13</v>
      </c>
    </row>
    <row r="15" spans="2:9" ht="15.75" customHeight="1" x14ac:dyDescent="0.25">
      <c r="B15" s="13" t="s">
        <v>62</v>
      </c>
      <c r="C15" s="13" t="s">
        <v>65</v>
      </c>
      <c r="D15" s="15"/>
      <c r="E15" s="15"/>
      <c r="F15" s="15"/>
      <c r="G15" s="15" t="s">
        <v>45</v>
      </c>
      <c r="H15" s="15"/>
      <c r="I15" s="15">
        <v>2</v>
      </c>
    </row>
    <row r="16" spans="2:9" ht="15.75" customHeight="1" x14ac:dyDescent="0.25">
      <c r="B16" s="13" t="s">
        <v>63</v>
      </c>
      <c r="C16" s="13" t="s">
        <v>66</v>
      </c>
      <c r="D16" s="15"/>
      <c r="E16" s="15"/>
      <c r="F16" s="15"/>
      <c r="G16" s="15" t="s">
        <v>45</v>
      </c>
      <c r="H16" s="15"/>
      <c r="I16" s="15">
        <v>2</v>
      </c>
    </row>
    <row r="17" spans="2:9" ht="15.75" customHeight="1" x14ac:dyDescent="0.25">
      <c r="B17" s="13" t="s">
        <v>64</v>
      </c>
      <c r="C17" s="13" t="s">
        <v>67</v>
      </c>
      <c r="D17" s="15"/>
      <c r="E17" s="15"/>
      <c r="F17" s="15"/>
      <c r="G17" s="15" t="s">
        <v>45</v>
      </c>
      <c r="H17" s="15"/>
      <c r="I17" s="15">
        <v>3</v>
      </c>
    </row>
    <row r="18" spans="2:9" ht="15.75" customHeight="1" x14ac:dyDescent="0.25">
      <c r="B18" s="15"/>
      <c r="D18" s="17"/>
      <c r="E18" s="17"/>
      <c r="F18" s="17"/>
      <c r="G18" s="15"/>
      <c r="H18" s="15"/>
      <c r="I18" s="15"/>
    </row>
    <row r="19" spans="2:9" ht="15.75" customHeight="1" x14ac:dyDescent="0.25">
      <c r="B19" s="20" t="s">
        <v>32</v>
      </c>
      <c r="C19" s="20" t="s">
        <v>68</v>
      </c>
      <c r="D19" s="20" t="s">
        <v>24</v>
      </c>
      <c r="E19" s="20" t="s">
        <v>69</v>
      </c>
      <c r="F19" s="21" t="s">
        <v>70</v>
      </c>
      <c r="G19" s="22"/>
      <c r="H19" s="20" t="s">
        <v>7</v>
      </c>
      <c r="I19" s="20" t="s">
        <v>27</v>
      </c>
    </row>
    <row r="20" spans="2:9" ht="15.75" customHeight="1" x14ac:dyDescent="0.25">
      <c r="B20" s="13"/>
      <c r="C20" s="14" t="s">
        <v>47</v>
      </c>
      <c r="D20" s="15"/>
      <c r="E20" s="15"/>
      <c r="F20" s="15"/>
      <c r="G20" s="14" t="s">
        <v>48</v>
      </c>
      <c r="H20" s="15"/>
      <c r="I20" s="16" t="s">
        <v>13</v>
      </c>
    </row>
    <row r="21" spans="2:9" ht="15.75" customHeight="1" x14ac:dyDescent="0.25">
      <c r="B21" s="13" t="s">
        <v>71</v>
      </c>
      <c r="C21" s="13" t="s">
        <v>74</v>
      </c>
      <c r="D21" s="15"/>
      <c r="E21" s="15"/>
      <c r="F21" s="15"/>
      <c r="G21" s="15" t="s">
        <v>46</v>
      </c>
      <c r="H21" s="15"/>
      <c r="I21" s="15">
        <v>2</v>
      </c>
    </row>
    <row r="22" spans="2:9" ht="15.75" customHeight="1" x14ac:dyDescent="0.25">
      <c r="B22" s="13" t="s">
        <v>72</v>
      </c>
      <c r="C22" s="13" t="s">
        <v>75</v>
      </c>
      <c r="D22" s="18"/>
      <c r="E22" s="18"/>
      <c r="F22" s="18"/>
      <c r="G22" s="15" t="s">
        <v>46</v>
      </c>
      <c r="H22" s="18"/>
      <c r="I22" s="18">
        <v>2</v>
      </c>
    </row>
    <row r="23" spans="2:9" s="5" customFormat="1" ht="15.75" customHeight="1" x14ac:dyDescent="0.25">
      <c r="B23" s="13" t="s">
        <v>73</v>
      </c>
      <c r="C23" s="13" t="s">
        <v>76</v>
      </c>
      <c r="D23" s="18"/>
      <c r="E23" s="18"/>
      <c r="F23" s="18"/>
      <c r="G23" s="15" t="s">
        <v>46</v>
      </c>
      <c r="H23" s="18"/>
      <c r="I23" s="18">
        <v>3</v>
      </c>
    </row>
    <row r="24" spans="2:9" ht="15.75" customHeight="1" x14ac:dyDescent="0.25">
      <c r="B24" s="18"/>
      <c r="C24" s="18"/>
      <c r="D24" s="18"/>
      <c r="E24" s="18"/>
      <c r="F24" s="18"/>
      <c r="G24" s="18"/>
      <c r="H24" s="18"/>
      <c r="I24" s="18"/>
    </row>
    <row r="25" spans="2:9" ht="15.75" customHeight="1" x14ac:dyDescent="0.25">
      <c r="B25" s="20" t="s">
        <v>36</v>
      </c>
      <c r="C25" s="20" t="s">
        <v>37</v>
      </c>
      <c r="D25" s="20" t="s">
        <v>24</v>
      </c>
      <c r="E25" s="20" t="s">
        <v>38</v>
      </c>
      <c r="F25" s="21" t="s">
        <v>77</v>
      </c>
      <c r="G25" s="22"/>
      <c r="H25" s="20" t="s">
        <v>7</v>
      </c>
      <c r="I25" s="20" t="s">
        <v>27</v>
      </c>
    </row>
    <row r="26" spans="2:9" ht="15.75" customHeight="1" x14ac:dyDescent="0.25">
      <c r="B26" s="13"/>
      <c r="C26" s="14" t="s">
        <v>47</v>
      </c>
      <c r="D26" s="15"/>
      <c r="E26" s="15"/>
      <c r="F26" s="15"/>
      <c r="G26" s="14" t="s">
        <v>48</v>
      </c>
      <c r="H26" s="15"/>
      <c r="I26" s="16" t="s">
        <v>13</v>
      </c>
    </row>
    <row r="27" spans="2:9" ht="15.75" customHeight="1" x14ac:dyDescent="0.25">
      <c r="B27" s="13" t="s">
        <v>78</v>
      </c>
      <c r="C27" s="13" t="s">
        <v>81</v>
      </c>
      <c r="D27" s="15"/>
      <c r="E27" s="15"/>
      <c r="F27" s="15"/>
      <c r="G27" s="13" t="s">
        <v>44</v>
      </c>
      <c r="H27" s="15"/>
      <c r="I27" s="15">
        <v>1</v>
      </c>
    </row>
    <row r="28" spans="2:9" ht="15.75" customHeight="1" x14ac:dyDescent="0.25">
      <c r="B28" s="13" t="s">
        <v>79</v>
      </c>
      <c r="C28" s="13" t="s">
        <v>82</v>
      </c>
      <c r="D28" s="18"/>
      <c r="E28" s="18"/>
      <c r="F28" s="18"/>
      <c r="G28" s="13" t="s">
        <v>44</v>
      </c>
      <c r="H28" s="18"/>
      <c r="I28" s="18">
        <v>1</v>
      </c>
    </row>
    <row r="29" spans="2:9" ht="15.75" customHeight="1" x14ac:dyDescent="0.25">
      <c r="B29" s="13" t="s">
        <v>80</v>
      </c>
      <c r="C29" s="13" t="s">
        <v>83</v>
      </c>
      <c r="G29" s="13" t="s">
        <v>44</v>
      </c>
      <c r="I29">
        <v>2</v>
      </c>
    </row>
    <row r="30" spans="2:9" ht="15.75" customHeight="1" x14ac:dyDescent="0.25">
      <c r="C30" s="11"/>
    </row>
    <row r="31" spans="2:9" ht="15.75" customHeight="1" x14ac:dyDescent="0.25">
      <c r="B31" s="20" t="s">
        <v>40</v>
      </c>
      <c r="C31" s="20" t="s">
        <v>41</v>
      </c>
      <c r="D31" s="20" t="s">
        <v>24</v>
      </c>
      <c r="E31" s="20" t="s">
        <v>87</v>
      </c>
      <c r="F31" s="21" t="s">
        <v>43</v>
      </c>
      <c r="G31" s="22"/>
      <c r="H31" s="20" t="s">
        <v>7</v>
      </c>
      <c r="I31" s="20" t="s">
        <v>27</v>
      </c>
    </row>
    <row r="32" spans="2:9" ht="15.75" customHeight="1" x14ac:dyDescent="0.25">
      <c r="B32" s="13"/>
      <c r="C32" s="14" t="s">
        <v>47</v>
      </c>
      <c r="D32" s="15"/>
      <c r="E32" s="15"/>
      <c r="F32" s="15"/>
      <c r="G32" s="14" t="s">
        <v>48</v>
      </c>
      <c r="H32" s="15"/>
      <c r="I32" s="16" t="s">
        <v>13</v>
      </c>
    </row>
    <row r="33" spans="2:9" ht="15.75" customHeight="1" x14ac:dyDescent="0.25">
      <c r="B33" s="13" t="s">
        <v>84</v>
      </c>
      <c r="C33" s="13" t="s">
        <v>88</v>
      </c>
      <c r="D33" s="15"/>
      <c r="E33" s="15"/>
      <c r="F33" s="15"/>
      <c r="G33" s="15" t="s">
        <v>45</v>
      </c>
      <c r="H33" s="15"/>
      <c r="I33" s="15">
        <v>3</v>
      </c>
    </row>
    <row r="34" spans="2:9" ht="15.75" customHeight="1" x14ac:dyDescent="0.25">
      <c r="B34" s="13" t="s">
        <v>85</v>
      </c>
      <c r="C34" s="13" t="s">
        <v>89</v>
      </c>
      <c r="D34" s="18"/>
      <c r="E34" s="18"/>
      <c r="F34" s="18"/>
      <c r="G34" s="15" t="s">
        <v>45</v>
      </c>
      <c r="H34" s="18"/>
      <c r="I34" s="18">
        <v>3</v>
      </c>
    </row>
    <row r="35" spans="2:9" ht="15.75" customHeight="1" x14ac:dyDescent="0.25">
      <c r="B35" s="13" t="s">
        <v>86</v>
      </c>
      <c r="C35" s="13" t="s">
        <v>90</v>
      </c>
      <c r="D35" s="5"/>
      <c r="E35" s="5"/>
      <c r="F35" s="5"/>
      <c r="G35" s="15" t="s">
        <v>45</v>
      </c>
      <c r="H35" s="5"/>
      <c r="I35" s="5">
        <v>4</v>
      </c>
    </row>
    <row r="36" spans="2:9" ht="15.75" customHeight="1" x14ac:dyDescent="0.25">
      <c r="C36" s="11"/>
    </row>
    <row r="37" spans="2:9" ht="39.6" x14ac:dyDescent="0.25">
      <c r="B37" s="20" t="s">
        <v>116</v>
      </c>
      <c r="C37" s="20" t="s">
        <v>118</v>
      </c>
      <c r="D37" s="20" t="s">
        <v>24</v>
      </c>
      <c r="E37" s="20" t="s">
        <v>106</v>
      </c>
      <c r="F37" s="21" t="s">
        <v>119</v>
      </c>
      <c r="G37" s="40" t="s">
        <v>120</v>
      </c>
      <c r="H37" s="20" t="s">
        <v>109</v>
      </c>
      <c r="I37" s="20" t="s">
        <v>27</v>
      </c>
    </row>
    <row r="38" spans="2:9" ht="15.75" customHeight="1" x14ac:dyDescent="0.25">
      <c r="B38" s="13"/>
      <c r="C38" s="14" t="s">
        <v>47</v>
      </c>
      <c r="D38" s="13"/>
      <c r="E38" s="13"/>
      <c r="F38" s="13"/>
      <c r="G38" s="14" t="s">
        <v>48</v>
      </c>
      <c r="H38" s="13"/>
      <c r="I38" s="14" t="s">
        <v>13</v>
      </c>
    </row>
    <row r="39" spans="2:9" ht="15.75" customHeight="1" x14ac:dyDescent="0.25">
      <c r="B39" s="13" t="s">
        <v>121</v>
      </c>
      <c r="C39" s="13" t="s">
        <v>122</v>
      </c>
      <c r="D39" s="13"/>
      <c r="E39" s="13"/>
      <c r="F39" s="18"/>
      <c r="G39" s="13" t="s">
        <v>45</v>
      </c>
      <c r="H39" s="18"/>
      <c r="I39" s="13">
        <v>2</v>
      </c>
    </row>
    <row r="40" spans="2:9" ht="15.75" customHeight="1" x14ac:dyDescent="0.25">
      <c r="B40" s="13" t="s">
        <v>123</v>
      </c>
      <c r="C40" s="13" t="s">
        <v>124</v>
      </c>
      <c r="D40" s="13"/>
      <c r="E40" s="13"/>
      <c r="F40" s="18"/>
      <c r="G40" s="13" t="s">
        <v>45</v>
      </c>
      <c r="H40" s="18"/>
      <c r="I40" s="13">
        <v>3</v>
      </c>
    </row>
    <row r="41" spans="2:9" ht="15.75" customHeight="1" x14ac:dyDescent="0.25">
      <c r="B41" s="13" t="s">
        <v>125</v>
      </c>
      <c r="C41" s="13" t="s">
        <v>126</v>
      </c>
      <c r="D41" s="13"/>
      <c r="E41" s="13"/>
      <c r="F41" s="18"/>
      <c r="G41" s="13" t="s">
        <v>45</v>
      </c>
      <c r="H41" s="18"/>
      <c r="I41" s="13">
        <v>3</v>
      </c>
    </row>
    <row r="42" spans="2:9" ht="15.75" customHeight="1" x14ac:dyDescent="0.25">
      <c r="B42" s="13" t="s">
        <v>127</v>
      </c>
      <c r="C42" s="13" t="s">
        <v>128</v>
      </c>
      <c r="D42" s="13"/>
      <c r="E42" s="13"/>
      <c r="F42" s="18"/>
      <c r="G42" s="13" t="s">
        <v>45</v>
      </c>
      <c r="H42" s="18"/>
      <c r="I42" s="13">
        <v>2</v>
      </c>
    </row>
    <row r="43" spans="2:9" ht="15.75" customHeight="1" x14ac:dyDescent="0.25">
      <c r="B43" s="13"/>
      <c r="C43" s="13"/>
      <c r="D43" s="15"/>
      <c r="E43" s="15"/>
      <c r="F43" s="15"/>
      <c r="G43" s="13"/>
      <c r="H43" s="13"/>
      <c r="I43" s="16"/>
    </row>
    <row r="44" spans="2:9" ht="39.6" x14ac:dyDescent="0.25">
      <c r="B44" s="20" t="s">
        <v>117</v>
      </c>
      <c r="C44" s="20" t="s">
        <v>111</v>
      </c>
      <c r="D44" s="20" t="s">
        <v>24</v>
      </c>
      <c r="E44" s="20" t="s">
        <v>113</v>
      </c>
      <c r="F44" s="21" t="s">
        <v>114</v>
      </c>
      <c r="G44" s="40" t="s">
        <v>129</v>
      </c>
      <c r="H44" s="20" t="s">
        <v>109</v>
      </c>
      <c r="I44" s="20" t="s">
        <v>27</v>
      </c>
    </row>
    <row r="45" spans="2:9" ht="15.75" customHeight="1" x14ac:dyDescent="0.25">
      <c r="B45" s="13"/>
      <c r="C45" s="14" t="s">
        <v>47</v>
      </c>
      <c r="D45" s="15"/>
      <c r="E45" s="15"/>
      <c r="F45" s="15"/>
      <c r="G45" s="14" t="s">
        <v>48</v>
      </c>
      <c r="H45" s="15"/>
      <c r="I45" s="16" t="s">
        <v>13</v>
      </c>
    </row>
    <row r="46" spans="2:9" ht="15.75" customHeight="1" x14ac:dyDescent="0.25">
      <c r="B46" s="13" t="s">
        <v>130</v>
      </c>
      <c r="C46" s="13" t="s">
        <v>131</v>
      </c>
      <c r="D46" s="13"/>
      <c r="E46" s="13"/>
      <c r="F46" s="13"/>
      <c r="G46" s="13" t="s">
        <v>46</v>
      </c>
      <c r="H46" s="13"/>
      <c r="I46" s="13">
        <v>2</v>
      </c>
    </row>
    <row r="47" spans="2:9" ht="15.75" customHeight="1" x14ac:dyDescent="0.25">
      <c r="B47" s="13" t="s">
        <v>132</v>
      </c>
      <c r="C47" s="13" t="s">
        <v>133</v>
      </c>
      <c r="D47" s="13"/>
      <c r="E47" s="13"/>
      <c r="F47" s="13"/>
      <c r="G47" s="13" t="s">
        <v>46</v>
      </c>
      <c r="H47" s="13"/>
      <c r="I47" s="13">
        <v>3</v>
      </c>
    </row>
    <row r="48" spans="2:9" ht="15.75" customHeight="1" x14ac:dyDescent="0.25">
      <c r="B48" s="13" t="s">
        <v>134</v>
      </c>
      <c r="C48" s="13" t="s">
        <v>135</v>
      </c>
      <c r="D48" s="13"/>
      <c r="E48" s="13"/>
      <c r="F48" s="13"/>
      <c r="G48" s="13" t="s">
        <v>46</v>
      </c>
      <c r="H48" s="13"/>
      <c r="I48" s="13">
        <v>2</v>
      </c>
    </row>
    <row r="49" spans="2:9" ht="15.75" customHeight="1" x14ac:dyDescent="0.25">
      <c r="B49" s="13" t="s">
        <v>136</v>
      </c>
      <c r="C49" s="13" t="s">
        <v>137</v>
      </c>
      <c r="D49" s="13"/>
      <c r="E49" s="13"/>
      <c r="F49" s="13"/>
      <c r="G49" s="13" t="s">
        <v>46</v>
      </c>
      <c r="H49" s="13"/>
      <c r="I49" s="13">
        <v>2</v>
      </c>
    </row>
    <row r="50" spans="2:9" ht="15.75" customHeight="1" x14ac:dyDescent="0.25"/>
    <row r="51" spans="2:9" ht="15.75" customHeight="1" x14ac:dyDescent="0.25"/>
    <row r="52" spans="2:9" ht="15.75" customHeight="1" x14ac:dyDescent="0.25"/>
    <row r="53" spans="2:9" ht="15.75" customHeight="1" x14ac:dyDescent="0.25"/>
    <row r="54" spans="2:9" ht="15.75" customHeight="1" x14ac:dyDescent="0.25"/>
    <row r="55" spans="2:9" ht="15.75" customHeight="1" x14ac:dyDescent="0.25"/>
    <row r="56" spans="2:9" ht="15.75" customHeight="1" x14ac:dyDescent="0.25"/>
    <row r="57" spans="2:9" ht="15.75" customHeight="1" x14ac:dyDescent="0.25"/>
    <row r="58" spans="2:9" ht="15.75" customHeight="1" x14ac:dyDescent="0.25"/>
    <row r="59" spans="2:9" ht="15.75" customHeight="1" x14ac:dyDescent="0.25"/>
    <row r="60" spans="2:9" ht="15.75" customHeight="1" x14ac:dyDescent="0.25"/>
    <row r="61" spans="2:9" ht="15.75" customHeight="1" x14ac:dyDescent="0.25"/>
    <row r="62" spans="2:9" ht="15.75" customHeight="1" x14ac:dyDescent="0.25"/>
    <row r="63" spans="2:9" ht="15.75" customHeight="1" x14ac:dyDescent="0.25"/>
    <row r="64" spans="2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</sheetData>
  <phoneticPr fontId="12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A50D-B861-49DB-9BF6-2F2A85B8A964}">
  <sheetPr>
    <outlinePr summaryBelow="0" summaryRight="0"/>
  </sheetPr>
  <dimension ref="A1:AC993"/>
  <sheetViews>
    <sheetView zoomScale="70" zoomScaleNormal="70" workbookViewId="0">
      <selection activeCell="S8" sqref="S8"/>
    </sheetView>
  </sheetViews>
  <sheetFormatPr baseColWidth="10" defaultColWidth="12.5546875" defaultRowHeight="15" customHeight="1" x14ac:dyDescent="0.25"/>
  <cols>
    <col min="1" max="1" width="4.33203125" style="23" customWidth="1"/>
    <col min="2" max="2" width="24.5546875" style="23" customWidth="1"/>
    <col min="3" max="19" width="12.44140625" style="23" customWidth="1"/>
    <col min="20" max="20" width="14.6640625" style="23" customWidth="1"/>
    <col min="21" max="37" width="12.44140625" style="23" customWidth="1"/>
    <col min="38" max="16384" width="12.5546875" style="23"/>
  </cols>
  <sheetData>
    <row r="1" spans="1:20" ht="15.75" customHeight="1" x14ac:dyDescent="0.25"/>
    <row r="2" spans="1:20" s="33" customFormat="1" ht="20.25" customHeight="1" x14ac:dyDescent="0.25">
      <c r="B2" s="37"/>
      <c r="C2" s="34" t="s">
        <v>13</v>
      </c>
      <c r="D2" s="36" t="s">
        <v>103</v>
      </c>
      <c r="E2" s="36" t="s">
        <v>102</v>
      </c>
      <c r="F2" s="36" t="s">
        <v>101</v>
      </c>
      <c r="G2" s="36" t="s">
        <v>100</v>
      </c>
      <c r="H2" s="36" t="s">
        <v>99</v>
      </c>
      <c r="I2" s="36" t="s">
        <v>98</v>
      </c>
      <c r="J2" s="36" t="s">
        <v>97</v>
      </c>
      <c r="K2" s="36" t="s">
        <v>96</v>
      </c>
      <c r="L2" s="36" t="s">
        <v>95</v>
      </c>
      <c r="M2" s="36" t="s">
        <v>94</v>
      </c>
      <c r="N2" s="36" t="s">
        <v>93</v>
      </c>
      <c r="O2" s="36" t="s">
        <v>14</v>
      </c>
      <c r="P2" s="34" t="s">
        <v>15</v>
      </c>
      <c r="Q2" s="34" t="s">
        <v>16</v>
      </c>
      <c r="R2" s="34" t="s">
        <v>17</v>
      </c>
      <c r="S2" s="35" t="s">
        <v>18</v>
      </c>
      <c r="T2" s="34" t="s">
        <v>19</v>
      </c>
    </row>
    <row r="3" spans="1:20" ht="20.25" customHeight="1" x14ac:dyDescent="0.25">
      <c r="B3" s="29" t="s">
        <v>52</v>
      </c>
      <c r="C3" s="31">
        <v>2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2</v>
      </c>
      <c r="T3" s="27">
        <f t="shared" ref="T3:T18" si="0">SUM(D3:S3)</f>
        <v>2</v>
      </c>
    </row>
    <row r="4" spans="1:20" ht="20.25" customHeight="1" x14ac:dyDescent="0.25">
      <c r="B4" s="32" t="s">
        <v>53</v>
      </c>
      <c r="C4" s="31">
        <v>2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2</v>
      </c>
      <c r="T4" s="27">
        <f t="shared" si="0"/>
        <v>2</v>
      </c>
    </row>
    <row r="5" spans="1:20" ht="20.25" customHeight="1" x14ac:dyDescent="0.25">
      <c r="A5" s="30"/>
      <c r="B5" s="29" t="s">
        <v>54</v>
      </c>
      <c r="C5" s="31">
        <v>3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3</v>
      </c>
      <c r="T5" s="27">
        <f t="shared" si="0"/>
        <v>3</v>
      </c>
    </row>
    <row r="6" spans="1:20" ht="20.25" customHeight="1" x14ac:dyDescent="0.25">
      <c r="A6" s="30"/>
      <c r="B6" s="32" t="s">
        <v>55</v>
      </c>
      <c r="C6" s="31">
        <v>1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1</v>
      </c>
      <c r="S6" s="28">
        <v>0</v>
      </c>
      <c r="T6" s="27">
        <f t="shared" si="0"/>
        <v>1</v>
      </c>
    </row>
    <row r="7" spans="1:20" ht="20.25" customHeight="1" x14ac:dyDescent="0.25">
      <c r="A7" s="30"/>
      <c r="B7" s="29" t="s">
        <v>62</v>
      </c>
      <c r="C7" s="31">
        <v>2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2</v>
      </c>
      <c r="R7" s="28">
        <v>0</v>
      </c>
      <c r="S7" s="28">
        <v>0</v>
      </c>
      <c r="T7" s="27">
        <f t="shared" si="0"/>
        <v>2</v>
      </c>
    </row>
    <row r="8" spans="1:20" ht="20.25" customHeight="1" x14ac:dyDescent="0.25">
      <c r="A8" s="30"/>
      <c r="B8" s="29" t="s">
        <v>63</v>
      </c>
      <c r="C8" s="31">
        <v>2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2</v>
      </c>
      <c r="Q8" s="28">
        <v>0</v>
      </c>
      <c r="R8" s="28">
        <v>0</v>
      </c>
      <c r="S8" s="28">
        <v>0</v>
      </c>
      <c r="T8" s="27">
        <f t="shared" si="0"/>
        <v>2</v>
      </c>
    </row>
    <row r="9" spans="1:20" ht="20.25" customHeight="1" x14ac:dyDescent="0.25">
      <c r="A9" s="30"/>
      <c r="B9" s="29" t="s">
        <v>64</v>
      </c>
      <c r="C9" s="31">
        <v>3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3</v>
      </c>
      <c r="P9" s="28">
        <v>0</v>
      </c>
      <c r="Q9" s="28">
        <v>0</v>
      </c>
      <c r="R9" s="28">
        <v>0</v>
      </c>
      <c r="S9" s="28">
        <v>0</v>
      </c>
      <c r="T9" s="27">
        <f t="shared" si="0"/>
        <v>3</v>
      </c>
    </row>
    <row r="10" spans="1:20" ht="20.25" customHeight="1" x14ac:dyDescent="0.25">
      <c r="A10" s="30"/>
      <c r="B10" s="29" t="s">
        <v>71</v>
      </c>
      <c r="C10" s="31">
        <v>2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1</v>
      </c>
      <c r="N10" s="28">
        <v>1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38">
        <f t="shared" si="0"/>
        <v>2</v>
      </c>
    </row>
    <row r="11" spans="1:20" ht="20.25" customHeight="1" x14ac:dyDescent="0.25">
      <c r="A11" s="30"/>
      <c r="B11" s="29" t="s">
        <v>72</v>
      </c>
      <c r="C11" s="31">
        <v>2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2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38">
        <f t="shared" si="0"/>
        <v>2</v>
      </c>
    </row>
    <row r="12" spans="1:20" ht="20.25" customHeight="1" x14ac:dyDescent="0.25">
      <c r="A12" s="30"/>
      <c r="B12" s="29" t="s">
        <v>73</v>
      </c>
      <c r="C12" s="31">
        <v>3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3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38">
        <f t="shared" si="0"/>
        <v>3</v>
      </c>
    </row>
    <row r="13" spans="1:20" ht="20.25" customHeight="1" x14ac:dyDescent="0.25">
      <c r="A13" s="30"/>
      <c r="B13" s="29" t="s">
        <v>78</v>
      </c>
      <c r="C13" s="31">
        <v>1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1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38">
        <f t="shared" si="0"/>
        <v>1</v>
      </c>
    </row>
    <row r="14" spans="1:20" ht="20.25" customHeight="1" x14ac:dyDescent="0.25">
      <c r="A14" s="30"/>
      <c r="B14" s="29" t="s">
        <v>79</v>
      </c>
      <c r="C14" s="31">
        <v>1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1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38">
        <f t="shared" si="0"/>
        <v>1</v>
      </c>
    </row>
    <row r="15" spans="1:20" ht="20.25" customHeight="1" x14ac:dyDescent="0.25">
      <c r="A15" s="30"/>
      <c r="B15" s="29" t="s">
        <v>80</v>
      </c>
      <c r="C15" s="31">
        <v>2</v>
      </c>
      <c r="D15" s="28">
        <v>0</v>
      </c>
      <c r="E15" s="28">
        <v>0</v>
      </c>
      <c r="F15" s="28">
        <v>0</v>
      </c>
      <c r="G15" s="28">
        <v>0</v>
      </c>
      <c r="H15" s="28">
        <v>2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38">
        <f t="shared" si="0"/>
        <v>2</v>
      </c>
    </row>
    <row r="16" spans="1:20" ht="20.25" customHeight="1" x14ac:dyDescent="0.25">
      <c r="A16" s="30"/>
      <c r="B16" s="29" t="s">
        <v>84</v>
      </c>
      <c r="C16" s="31">
        <v>3</v>
      </c>
      <c r="D16" s="28">
        <v>0</v>
      </c>
      <c r="E16" s="28">
        <v>0</v>
      </c>
      <c r="F16" s="28">
        <v>0</v>
      </c>
      <c r="G16" s="28">
        <v>3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38">
        <f t="shared" si="0"/>
        <v>3</v>
      </c>
    </row>
    <row r="17" spans="1:29" ht="20.25" customHeight="1" x14ac:dyDescent="0.25">
      <c r="A17" s="30"/>
      <c r="B17" s="29" t="s">
        <v>85</v>
      </c>
      <c r="C17" s="31">
        <v>3</v>
      </c>
      <c r="D17" s="28">
        <v>0</v>
      </c>
      <c r="E17" s="28">
        <v>0</v>
      </c>
      <c r="F17" s="28">
        <v>3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38">
        <f t="shared" si="0"/>
        <v>3</v>
      </c>
    </row>
    <row r="18" spans="1:29" ht="20.25" customHeight="1" x14ac:dyDescent="0.25">
      <c r="A18" s="30"/>
      <c r="B18" s="29" t="s">
        <v>86</v>
      </c>
      <c r="C18" s="31">
        <v>4</v>
      </c>
      <c r="D18" s="28">
        <v>3</v>
      </c>
      <c r="E18" s="28">
        <v>1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7">
        <f t="shared" si="0"/>
        <v>4</v>
      </c>
    </row>
    <row r="19" spans="1:29" ht="15.75" customHeight="1" x14ac:dyDescent="0.25">
      <c r="V19" s="41"/>
      <c r="W19" s="42"/>
      <c r="X19" s="42"/>
      <c r="Y19" s="42"/>
      <c r="Z19" s="42"/>
      <c r="AA19" s="42"/>
      <c r="AB19" s="42"/>
      <c r="AC19" s="43"/>
    </row>
    <row r="20" spans="1:29" ht="24.75" customHeight="1" x14ac:dyDescent="0.25">
      <c r="B20" s="26" t="s">
        <v>20</v>
      </c>
      <c r="C20" s="24">
        <f>SUM(C3:C18)</f>
        <v>36</v>
      </c>
      <c r="D20" s="24">
        <f t="shared" ref="D20:S20" si="1">C20-SUM(D3:D18)</f>
        <v>33</v>
      </c>
      <c r="E20" s="24">
        <f t="shared" si="1"/>
        <v>32</v>
      </c>
      <c r="F20" s="24">
        <f t="shared" si="1"/>
        <v>29</v>
      </c>
      <c r="G20" s="24">
        <f t="shared" si="1"/>
        <v>26</v>
      </c>
      <c r="H20" s="24">
        <f t="shared" si="1"/>
        <v>24</v>
      </c>
      <c r="I20" s="24">
        <f t="shared" si="1"/>
        <v>23</v>
      </c>
      <c r="J20" s="24">
        <f t="shared" si="1"/>
        <v>22</v>
      </c>
      <c r="K20" s="24">
        <f t="shared" si="1"/>
        <v>19</v>
      </c>
      <c r="L20" s="24">
        <f t="shared" si="1"/>
        <v>17</v>
      </c>
      <c r="M20" s="24">
        <f t="shared" si="1"/>
        <v>16</v>
      </c>
      <c r="N20" s="24">
        <f t="shared" si="1"/>
        <v>15</v>
      </c>
      <c r="O20" s="24">
        <f t="shared" si="1"/>
        <v>12</v>
      </c>
      <c r="P20" s="24">
        <f t="shared" si="1"/>
        <v>10</v>
      </c>
      <c r="Q20" s="24">
        <f t="shared" si="1"/>
        <v>8</v>
      </c>
      <c r="R20" s="24">
        <f t="shared" si="1"/>
        <v>7</v>
      </c>
      <c r="S20" s="24">
        <f t="shared" si="1"/>
        <v>0</v>
      </c>
      <c r="V20" s="44"/>
      <c r="W20" s="45"/>
      <c r="X20" s="45"/>
      <c r="Y20" s="45"/>
      <c r="Z20" s="45"/>
      <c r="AA20" s="45"/>
      <c r="AB20" s="45"/>
      <c r="AC20" s="46"/>
    </row>
    <row r="21" spans="1:29" ht="29.25" customHeight="1" x14ac:dyDescent="0.25">
      <c r="B21" s="25" t="s">
        <v>21</v>
      </c>
      <c r="C21" s="24">
        <f>SUM(C3:C18)</f>
        <v>36</v>
      </c>
      <c r="D21" s="24">
        <f>C21-(SUM(C3:C18)/16)</f>
        <v>33.75</v>
      </c>
      <c r="E21" s="24">
        <f>D21-(SUM(C3:C18)/16)</f>
        <v>31.5</v>
      </c>
      <c r="F21" s="24">
        <f>E21-(SUM(C3:C18)/16)</f>
        <v>29.25</v>
      </c>
      <c r="G21" s="24">
        <f>F21-(SUM(C3:C18)/16)</f>
        <v>27</v>
      </c>
      <c r="H21" s="24">
        <f>G21-(SUM(C3:C18)/16)</f>
        <v>24.75</v>
      </c>
      <c r="I21" s="24">
        <f>H21-(SUM(C3:C18)/16)</f>
        <v>22.5</v>
      </c>
      <c r="J21" s="24">
        <f>I21-(SUM(C3:C18)/16)</f>
        <v>20.25</v>
      </c>
      <c r="K21" s="24">
        <f>J21-(SUM(C3:C18)/16)</f>
        <v>18</v>
      </c>
      <c r="L21" s="24">
        <f>K21-(SUM(C3:C18)/16)</f>
        <v>15.75</v>
      </c>
      <c r="M21" s="24">
        <f>L21-(SUM(C3:C18)/16)</f>
        <v>13.5</v>
      </c>
      <c r="N21" s="24">
        <f>M21-(SUM(C3:C18)/16)</f>
        <v>11.25</v>
      </c>
      <c r="O21" s="24">
        <f>N21-(SUM(C3:C18)/16)</f>
        <v>9</v>
      </c>
      <c r="P21" s="24">
        <f>O21-(SUM(C3:C18)/16)</f>
        <v>6.75</v>
      </c>
      <c r="Q21" s="24">
        <f>P21-(SUM(C3:C18)/16)</f>
        <v>4.5</v>
      </c>
      <c r="R21" s="24">
        <f>Q21-(SUM(C3:C18)/16)</f>
        <v>2.25</v>
      </c>
      <c r="S21" s="24">
        <f>R21-(SUM(C3:C18)/16)</f>
        <v>0</v>
      </c>
    </row>
    <row r="22" spans="1:29" ht="15.75" customHeight="1" x14ac:dyDescent="0.25"/>
    <row r="23" spans="1:29" ht="15.75" customHeight="1" x14ac:dyDescent="0.25"/>
    <row r="24" spans="1:29" ht="15.75" customHeight="1" x14ac:dyDescent="0.25">
      <c r="B24" s="23" t="s">
        <v>92</v>
      </c>
    </row>
    <row r="25" spans="1:29" ht="15.75" customHeight="1" x14ac:dyDescent="0.25">
      <c r="B25" s="23" t="s">
        <v>91</v>
      </c>
    </row>
    <row r="26" spans="1:29" ht="15.75" customHeight="1" x14ac:dyDescent="0.25"/>
    <row r="27" spans="1:29" ht="15.75" customHeight="1" x14ac:dyDescent="0.25"/>
    <row r="28" spans="1:29" ht="15.75" customHeight="1" x14ac:dyDescent="0.25"/>
    <row r="29" spans="1:29" ht="15.75" customHeight="1" x14ac:dyDescent="0.25"/>
    <row r="30" spans="1:29" ht="15.75" customHeight="1" x14ac:dyDescent="0.25"/>
    <row r="31" spans="1:29" ht="15.75" customHeight="1" x14ac:dyDescent="0.25"/>
    <row r="32" spans="1:2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1">
    <mergeCell ref="V19:AC20"/>
  </mergeCells>
  <phoneticPr fontId="12" type="noConversion"/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9D6C-F46A-412A-90A5-6870D331105D}">
  <sheetPr>
    <outlinePr summaryBelow="0" summaryRight="0"/>
  </sheetPr>
  <dimension ref="A1:AC989"/>
  <sheetViews>
    <sheetView tabSelected="1" zoomScale="81" zoomScaleNormal="70" workbookViewId="0">
      <selection activeCell="G10" sqref="G10"/>
    </sheetView>
  </sheetViews>
  <sheetFormatPr baseColWidth="10" defaultColWidth="12.5546875" defaultRowHeight="15" customHeight="1" x14ac:dyDescent="0.25"/>
  <cols>
    <col min="1" max="1" width="4.33203125" style="23" customWidth="1"/>
    <col min="2" max="2" width="24.5546875" style="23" customWidth="1"/>
    <col min="3" max="19" width="12.44140625" style="23" customWidth="1"/>
    <col min="20" max="20" width="14.6640625" style="23" customWidth="1"/>
    <col min="21" max="37" width="12.44140625" style="23" customWidth="1"/>
    <col min="38" max="16384" width="12.5546875" style="23"/>
  </cols>
  <sheetData>
    <row r="1" spans="1:29" ht="15.75" customHeight="1" x14ac:dyDescent="0.25"/>
    <row r="2" spans="1:29" s="33" customFormat="1" ht="20.25" customHeight="1" x14ac:dyDescent="0.25">
      <c r="B2" s="37"/>
      <c r="C2" s="34" t="s">
        <v>13</v>
      </c>
      <c r="D2" s="36" t="s">
        <v>103</v>
      </c>
      <c r="E2" s="36" t="s">
        <v>102</v>
      </c>
      <c r="F2" s="36" t="s">
        <v>101</v>
      </c>
      <c r="G2" s="36" t="s">
        <v>100</v>
      </c>
      <c r="H2" s="36" t="s">
        <v>99</v>
      </c>
      <c r="I2" s="36" t="s">
        <v>98</v>
      </c>
      <c r="J2" s="36" t="s">
        <v>97</v>
      </c>
      <c r="K2" s="36" t="s">
        <v>96</v>
      </c>
      <c r="L2" s="36" t="s">
        <v>95</v>
      </c>
      <c r="M2" s="36" t="s">
        <v>94</v>
      </c>
      <c r="N2" s="36" t="s">
        <v>93</v>
      </c>
      <c r="O2" s="36" t="s">
        <v>14</v>
      </c>
      <c r="P2" s="34" t="s">
        <v>15</v>
      </c>
      <c r="Q2" s="34" t="s">
        <v>16</v>
      </c>
      <c r="R2" s="34" t="s">
        <v>17</v>
      </c>
      <c r="S2" s="35" t="s">
        <v>18</v>
      </c>
      <c r="T2" s="34" t="s">
        <v>19</v>
      </c>
    </row>
    <row r="3" spans="1:29" ht="20.25" customHeight="1" x14ac:dyDescent="0.25">
      <c r="B3" s="29" t="s">
        <v>121</v>
      </c>
      <c r="C3" s="31">
        <v>2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1</v>
      </c>
      <c r="S3" s="28">
        <v>1</v>
      </c>
      <c r="T3" s="27">
        <f>SUM(D3:S3)</f>
        <v>2</v>
      </c>
    </row>
    <row r="4" spans="1:29" ht="20.25" customHeight="1" x14ac:dyDescent="0.25">
      <c r="B4" s="29" t="s">
        <v>123</v>
      </c>
      <c r="C4" s="31">
        <v>3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1</v>
      </c>
      <c r="Q4" s="28">
        <v>2</v>
      </c>
      <c r="R4" s="28">
        <v>0</v>
      </c>
      <c r="S4" s="28">
        <v>0</v>
      </c>
      <c r="T4" s="27">
        <f>SUM(D4:S4)</f>
        <v>3</v>
      </c>
    </row>
    <row r="5" spans="1:29" ht="20.25" customHeight="1" x14ac:dyDescent="0.25">
      <c r="A5" s="30"/>
      <c r="B5" s="29" t="s">
        <v>125</v>
      </c>
      <c r="C5" s="31">
        <v>3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1</v>
      </c>
      <c r="N5" s="28">
        <v>1</v>
      </c>
      <c r="O5" s="28">
        <v>1</v>
      </c>
      <c r="P5" s="28">
        <v>0</v>
      </c>
      <c r="Q5" s="28">
        <v>0</v>
      </c>
      <c r="R5" s="28">
        <v>0</v>
      </c>
      <c r="S5" s="28">
        <v>0</v>
      </c>
      <c r="T5" s="27">
        <f>SUM(D5:S5)</f>
        <v>3</v>
      </c>
    </row>
    <row r="6" spans="1:29" ht="20.25" customHeight="1" x14ac:dyDescent="0.25">
      <c r="A6" s="30"/>
      <c r="B6" s="29" t="s">
        <v>127</v>
      </c>
      <c r="C6" s="31">
        <v>2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2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7">
        <f>SUM(D6:S6)</f>
        <v>2</v>
      </c>
    </row>
    <row r="7" spans="1:29" ht="20.25" customHeight="1" x14ac:dyDescent="0.25">
      <c r="A7" s="30"/>
      <c r="B7" s="29" t="s">
        <v>130</v>
      </c>
      <c r="C7" s="31">
        <v>2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2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7">
        <f>SUM(D7:S7)</f>
        <v>2</v>
      </c>
    </row>
    <row r="8" spans="1:29" ht="20.25" customHeight="1" x14ac:dyDescent="0.25">
      <c r="A8" s="30"/>
      <c r="B8" s="29" t="s">
        <v>132</v>
      </c>
      <c r="C8" s="31">
        <v>3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1</v>
      </c>
      <c r="K8" s="28">
        <v>2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7">
        <f>SUM(D8:S8)</f>
        <v>3</v>
      </c>
    </row>
    <row r="9" spans="1:29" ht="20.25" customHeight="1" x14ac:dyDescent="0.25">
      <c r="A9" s="30"/>
      <c r="B9" s="29" t="s">
        <v>134</v>
      </c>
      <c r="C9" s="31">
        <v>2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2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7">
        <f>SUM(D9:S9)</f>
        <v>2</v>
      </c>
    </row>
    <row r="10" spans="1:29" ht="20.25" customHeight="1" x14ac:dyDescent="0.25">
      <c r="A10" s="30"/>
      <c r="B10" s="29" t="s">
        <v>136</v>
      </c>
      <c r="C10" s="31">
        <v>2</v>
      </c>
      <c r="D10" s="28">
        <v>0</v>
      </c>
      <c r="E10" s="28">
        <v>0</v>
      </c>
      <c r="F10" s="28">
        <v>0</v>
      </c>
      <c r="G10" s="28"/>
      <c r="H10" s="28">
        <v>1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47">
        <f>SUM(D10:S10)</f>
        <v>1</v>
      </c>
    </row>
    <row r="11" spans="1:29" ht="20.25" customHeight="1" x14ac:dyDescent="0.25">
      <c r="A11" s="30"/>
      <c r="B11" s="29"/>
      <c r="C11" s="31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47">
        <f>SUM(D11:S11)</f>
        <v>0</v>
      </c>
    </row>
    <row r="12" spans="1:29" ht="20.25" customHeight="1" x14ac:dyDescent="0.25">
      <c r="A12" s="30"/>
      <c r="B12" s="29"/>
      <c r="C12" s="31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47">
        <f>SUM(D12:S12)</f>
        <v>0</v>
      </c>
    </row>
    <row r="13" spans="1:29" ht="20.25" customHeight="1" x14ac:dyDescent="0.25">
      <c r="A13" s="30"/>
      <c r="B13" s="29"/>
      <c r="C13" s="31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47">
        <f>SUM(D13:S13)</f>
        <v>0</v>
      </c>
    </row>
    <row r="14" spans="1:29" ht="20.25" customHeight="1" x14ac:dyDescent="0.25">
      <c r="A14" s="30"/>
      <c r="B14" s="29"/>
      <c r="C14" s="31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47">
        <f>SUM(D14:S14)</f>
        <v>0</v>
      </c>
    </row>
    <row r="15" spans="1:29" ht="15.75" customHeight="1" x14ac:dyDescent="0.25">
      <c r="V15" s="41"/>
      <c r="W15" s="42"/>
      <c r="X15" s="42"/>
      <c r="Y15" s="42"/>
      <c r="Z15" s="42"/>
      <c r="AA15" s="42"/>
      <c r="AB15" s="42"/>
      <c r="AC15" s="43"/>
    </row>
    <row r="16" spans="1:29" ht="24.75" customHeight="1" x14ac:dyDescent="0.25">
      <c r="B16" s="26" t="s">
        <v>20</v>
      </c>
      <c r="C16" s="24">
        <f>SUM(C3:C14)</f>
        <v>19</v>
      </c>
      <c r="D16" s="24">
        <f>C16-SUM(D3:D14)</f>
        <v>19</v>
      </c>
      <c r="E16" s="24">
        <f>D16-SUM(E3:E14)</f>
        <v>19</v>
      </c>
      <c r="F16" s="24">
        <f>E16-SUM(F3:F14)</f>
        <v>19</v>
      </c>
      <c r="G16" s="24">
        <f>F16-SUM(G3:G14)</f>
        <v>19</v>
      </c>
      <c r="H16" s="24">
        <f>G16-SUM(H3:H14)</f>
        <v>18</v>
      </c>
      <c r="I16" s="24">
        <f>H16-SUM(I3:I14)</f>
        <v>16</v>
      </c>
      <c r="J16" s="24">
        <f>I16-SUM(J3:J14)</f>
        <v>15</v>
      </c>
      <c r="K16" s="24">
        <f>J16-SUM(K3:K14)</f>
        <v>13</v>
      </c>
      <c r="L16" s="24">
        <f>K16-SUM(L3:L14)</f>
        <v>11</v>
      </c>
      <c r="M16" s="24">
        <f>L16-SUM(M3:M14)</f>
        <v>8</v>
      </c>
      <c r="N16" s="24">
        <f>M16-SUM(N3:N14)</f>
        <v>7</v>
      </c>
      <c r="O16" s="24">
        <f>N16-SUM(O3:O14)</f>
        <v>6</v>
      </c>
      <c r="P16" s="24">
        <f>O16-SUM(P3:P14)</f>
        <v>5</v>
      </c>
      <c r="Q16" s="24">
        <f>P16-SUM(Q3:Q14)</f>
        <v>3</v>
      </c>
      <c r="R16" s="24">
        <f>Q16-SUM(R3:R14)</f>
        <v>2</v>
      </c>
      <c r="S16" s="24">
        <f>R16-SUM(S3:S14)</f>
        <v>1</v>
      </c>
      <c r="V16" s="44"/>
      <c r="W16" s="45"/>
      <c r="X16" s="45"/>
      <c r="Y16" s="45"/>
      <c r="Z16" s="45"/>
      <c r="AA16" s="45"/>
      <c r="AB16" s="45"/>
      <c r="AC16" s="46"/>
    </row>
    <row r="17" spans="2:19" ht="29.25" customHeight="1" x14ac:dyDescent="0.25">
      <c r="B17" s="25" t="s">
        <v>21</v>
      </c>
      <c r="C17" s="24">
        <f>SUM(C3:C14)</f>
        <v>19</v>
      </c>
      <c r="D17" s="24">
        <f>C17-(SUM(C3:C14)/16)</f>
        <v>17.8125</v>
      </c>
      <c r="E17" s="24">
        <f>D17-(SUM(C3:C14)/16)</f>
        <v>16.625</v>
      </c>
      <c r="F17" s="24">
        <f>E17-(SUM(C3:C14)/16)</f>
        <v>15.4375</v>
      </c>
      <c r="G17" s="24">
        <f>F17-(SUM(C3:C14)/16)</f>
        <v>14.25</v>
      </c>
      <c r="H17" s="24">
        <f>G17-(SUM(C3:C14)/16)</f>
        <v>13.0625</v>
      </c>
      <c r="I17" s="24">
        <f>H17-(SUM(C3:C14)/16)</f>
        <v>11.875</v>
      </c>
      <c r="J17" s="24">
        <f>I17-(SUM(C3:C14)/16)</f>
        <v>10.6875</v>
      </c>
      <c r="K17" s="24">
        <f>J17-(SUM(C3:C14)/16)</f>
        <v>9.5</v>
      </c>
      <c r="L17" s="24">
        <f>K17-(SUM(C3:C14)/16)</f>
        <v>8.3125</v>
      </c>
      <c r="M17" s="24">
        <f>L17-(SUM(C3:C14)/16)</f>
        <v>7.125</v>
      </c>
      <c r="N17" s="24">
        <f>M17-(SUM(C3:C14)/16)</f>
        <v>5.9375</v>
      </c>
      <c r="O17" s="24">
        <f>N17-(SUM(C3:C14)/16)</f>
        <v>4.75</v>
      </c>
      <c r="P17" s="24">
        <f>O17-(SUM(C3:C14)/16)</f>
        <v>3.5625</v>
      </c>
      <c r="Q17" s="24">
        <f>P17-(SUM(C3:C14)/16)</f>
        <v>2.375</v>
      </c>
      <c r="R17" s="24">
        <f>Q17-(SUM(C3:C14)/16)</f>
        <v>1.1875</v>
      </c>
      <c r="S17" s="24">
        <f>R17-(SUM(C3:C14)/16)</f>
        <v>0</v>
      </c>
    </row>
    <row r="18" spans="2:19" ht="15.75" customHeight="1" x14ac:dyDescent="0.25"/>
    <row r="19" spans="2:19" ht="15.75" customHeight="1" x14ac:dyDescent="0.25"/>
    <row r="20" spans="2:19" ht="15.75" customHeight="1" x14ac:dyDescent="0.25">
      <c r="B20" s="23" t="s">
        <v>92</v>
      </c>
    </row>
    <row r="21" spans="2:19" ht="15.75" customHeight="1" x14ac:dyDescent="0.25">
      <c r="B21" s="23" t="s">
        <v>91</v>
      </c>
    </row>
    <row r="22" spans="2:19" ht="15.75" customHeight="1" x14ac:dyDescent="0.25"/>
    <row r="23" spans="2:19" ht="15.75" customHeight="1" x14ac:dyDescent="0.25"/>
    <row r="24" spans="2:19" ht="15.75" customHeight="1" x14ac:dyDescent="0.25"/>
    <row r="25" spans="2:19" ht="15.75" customHeight="1" x14ac:dyDescent="0.25"/>
    <row r="26" spans="2:19" ht="15.75" customHeight="1" x14ac:dyDescent="0.25"/>
    <row r="27" spans="2:19" ht="15.75" customHeight="1" x14ac:dyDescent="0.25"/>
    <row r="28" spans="2:19" ht="15.75" customHeight="1" x14ac:dyDescent="0.25"/>
    <row r="29" spans="2:19" ht="15.75" customHeight="1" x14ac:dyDescent="0.25"/>
    <row r="30" spans="2:19" ht="15.75" customHeight="1" x14ac:dyDescent="0.25"/>
    <row r="31" spans="2:19" ht="15.75" customHeight="1" x14ac:dyDescent="0.25"/>
    <row r="32" spans="2:19" ht="15.75" customHeight="1" x14ac:dyDescent="0.25"/>
    <row r="33" s="23" customFormat="1" ht="15.75" customHeight="1" x14ac:dyDescent="0.25"/>
    <row r="34" s="23" customFormat="1" ht="15.75" customHeight="1" x14ac:dyDescent="0.25"/>
    <row r="35" s="23" customFormat="1" ht="15.75" customHeight="1" x14ac:dyDescent="0.25"/>
    <row r="36" s="23" customFormat="1" ht="15.75" customHeight="1" x14ac:dyDescent="0.25"/>
    <row r="37" s="23" customFormat="1" ht="15.75" customHeight="1" x14ac:dyDescent="0.25"/>
    <row r="38" s="23" customFormat="1" ht="15.75" customHeight="1" x14ac:dyDescent="0.25"/>
    <row r="39" s="23" customFormat="1" ht="15.75" customHeight="1" x14ac:dyDescent="0.25"/>
    <row r="40" s="23" customFormat="1" ht="15.75" customHeight="1" x14ac:dyDescent="0.25"/>
    <row r="41" s="23" customFormat="1" ht="15.75" customHeight="1" x14ac:dyDescent="0.25"/>
    <row r="42" s="23" customFormat="1" ht="15.75" customHeight="1" x14ac:dyDescent="0.25"/>
    <row r="43" s="23" customFormat="1" ht="15.75" customHeight="1" x14ac:dyDescent="0.25"/>
    <row r="44" s="23" customFormat="1" ht="15.75" customHeight="1" x14ac:dyDescent="0.25"/>
    <row r="45" s="23" customFormat="1" ht="15.75" customHeight="1" x14ac:dyDescent="0.25"/>
    <row r="46" s="23" customFormat="1" ht="15.75" customHeight="1" x14ac:dyDescent="0.25"/>
    <row r="47" s="23" customFormat="1" ht="15.75" customHeight="1" x14ac:dyDescent="0.25"/>
    <row r="48" s="23" customFormat="1" ht="15.75" customHeight="1" x14ac:dyDescent="0.25"/>
    <row r="49" s="23" customFormat="1" ht="15.75" customHeight="1" x14ac:dyDescent="0.25"/>
    <row r="50" s="23" customFormat="1" ht="15.75" customHeight="1" x14ac:dyDescent="0.25"/>
    <row r="51" s="23" customFormat="1" ht="15.75" customHeight="1" x14ac:dyDescent="0.25"/>
    <row r="52" s="23" customFormat="1" ht="15.75" customHeight="1" x14ac:dyDescent="0.25"/>
    <row r="53" s="23" customFormat="1" ht="15.75" customHeight="1" x14ac:dyDescent="0.25"/>
    <row r="54" s="23" customFormat="1" ht="15.75" customHeight="1" x14ac:dyDescent="0.25"/>
    <row r="55" s="23" customFormat="1" ht="15.75" customHeight="1" x14ac:dyDescent="0.25"/>
    <row r="56" s="23" customFormat="1" ht="15.75" customHeight="1" x14ac:dyDescent="0.25"/>
    <row r="57" s="23" customFormat="1" ht="15.75" customHeight="1" x14ac:dyDescent="0.25"/>
    <row r="58" s="23" customFormat="1" ht="15.75" customHeight="1" x14ac:dyDescent="0.25"/>
    <row r="59" s="23" customFormat="1" ht="15.75" customHeight="1" x14ac:dyDescent="0.25"/>
    <row r="60" s="23" customFormat="1" ht="15.75" customHeight="1" x14ac:dyDescent="0.25"/>
    <row r="61" s="23" customFormat="1" ht="15.75" customHeight="1" x14ac:dyDescent="0.25"/>
    <row r="62" s="23" customFormat="1" ht="15.75" customHeight="1" x14ac:dyDescent="0.25"/>
    <row r="63" s="23" customFormat="1" ht="15.75" customHeight="1" x14ac:dyDescent="0.25"/>
    <row r="64" s="23" customFormat="1" ht="15.75" customHeight="1" x14ac:dyDescent="0.25"/>
    <row r="65" s="23" customFormat="1" ht="15.75" customHeight="1" x14ac:dyDescent="0.25"/>
    <row r="66" s="23" customFormat="1" ht="15.75" customHeight="1" x14ac:dyDescent="0.25"/>
    <row r="67" s="23" customFormat="1" ht="15.75" customHeight="1" x14ac:dyDescent="0.25"/>
    <row r="68" s="23" customFormat="1" ht="15.75" customHeight="1" x14ac:dyDescent="0.25"/>
    <row r="69" s="23" customFormat="1" ht="15.75" customHeight="1" x14ac:dyDescent="0.25"/>
    <row r="70" s="23" customFormat="1" ht="15.75" customHeight="1" x14ac:dyDescent="0.25"/>
    <row r="71" s="23" customFormat="1" ht="15.75" customHeight="1" x14ac:dyDescent="0.25"/>
    <row r="72" s="23" customFormat="1" ht="15.75" customHeight="1" x14ac:dyDescent="0.25"/>
    <row r="73" s="23" customFormat="1" ht="15.75" customHeight="1" x14ac:dyDescent="0.25"/>
    <row r="74" s="23" customFormat="1" ht="15.75" customHeight="1" x14ac:dyDescent="0.25"/>
    <row r="75" s="23" customFormat="1" ht="15.75" customHeight="1" x14ac:dyDescent="0.25"/>
    <row r="76" s="23" customFormat="1" ht="15.75" customHeight="1" x14ac:dyDescent="0.25"/>
    <row r="77" s="23" customFormat="1" ht="15.75" customHeight="1" x14ac:dyDescent="0.25"/>
    <row r="78" s="23" customFormat="1" ht="15.75" customHeight="1" x14ac:dyDescent="0.25"/>
    <row r="79" s="23" customFormat="1" ht="15.75" customHeight="1" x14ac:dyDescent="0.25"/>
    <row r="80" s="23" customFormat="1" ht="15.75" customHeight="1" x14ac:dyDescent="0.25"/>
    <row r="81" s="23" customFormat="1" ht="15.75" customHeight="1" x14ac:dyDescent="0.25"/>
    <row r="82" s="23" customFormat="1" ht="15.75" customHeight="1" x14ac:dyDescent="0.25"/>
    <row r="83" s="23" customFormat="1" ht="15.75" customHeight="1" x14ac:dyDescent="0.25"/>
    <row r="84" s="23" customFormat="1" ht="15.75" customHeight="1" x14ac:dyDescent="0.25"/>
    <row r="85" s="23" customFormat="1" ht="15.75" customHeight="1" x14ac:dyDescent="0.25"/>
    <row r="86" s="23" customFormat="1" ht="15.75" customHeight="1" x14ac:dyDescent="0.25"/>
    <row r="87" s="23" customFormat="1" ht="15.75" customHeight="1" x14ac:dyDescent="0.25"/>
    <row r="88" s="23" customFormat="1" ht="15.75" customHeight="1" x14ac:dyDescent="0.25"/>
    <row r="89" s="23" customFormat="1" ht="15.75" customHeight="1" x14ac:dyDescent="0.25"/>
    <row r="90" s="23" customFormat="1" ht="15.75" customHeight="1" x14ac:dyDescent="0.25"/>
    <row r="91" s="23" customFormat="1" ht="15.75" customHeight="1" x14ac:dyDescent="0.25"/>
    <row r="92" s="23" customFormat="1" ht="15.75" customHeight="1" x14ac:dyDescent="0.25"/>
    <row r="93" s="23" customFormat="1" ht="15.75" customHeight="1" x14ac:dyDescent="0.25"/>
    <row r="94" s="23" customFormat="1" ht="15.75" customHeight="1" x14ac:dyDescent="0.25"/>
    <row r="95" s="23" customFormat="1" ht="15.75" customHeight="1" x14ac:dyDescent="0.25"/>
    <row r="96" s="23" customFormat="1" ht="15.75" customHeight="1" x14ac:dyDescent="0.25"/>
    <row r="97" s="23" customFormat="1" ht="15.75" customHeight="1" x14ac:dyDescent="0.25"/>
    <row r="98" s="23" customFormat="1" ht="15.75" customHeight="1" x14ac:dyDescent="0.25"/>
    <row r="99" s="23" customFormat="1" ht="15.75" customHeight="1" x14ac:dyDescent="0.25"/>
    <row r="100" s="23" customFormat="1" ht="15.75" customHeight="1" x14ac:dyDescent="0.25"/>
    <row r="101" s="23" customFormat="1" ht="15.75" customHeight="1" x14ac:dyDescent="0.25"/>
    <row r="102" s="23" customFormat="1" ht="15.75" customHeight="1" x14ac:dyDescent="0.25"/>
    <row r="103" s="23" customFormat="1" ht="15.75" customHeight="1" x14ac:dyDescent="0.25"/>
    <row r="104" s="23" customFormat="1" ht="15.75" customHeight="1" x14ac:dyDescent="0.25"/>
    <row r="105" s="23" customFormat="1" ht="15.75" customHeight="1" x14ac:dyDescent="0.25"/>
    <row r="106" s="23" customFormat="1" ht="15.75" customHeight="1" x14ac:dyDescent="0.25"/>
    <row r="107" s="23" customFormat="1" ht="15.75" customHeight="1" x14ac:dyDescent="0.25"/>
    <row r="108" s="23" customFormat="1" ht="15.75" customHeight="1" x14ac:dyDescent="0.25"/>
    <row r="109" s="23" customFormat="1" ht="15.75" customHeight="1" x14ac:dyDescent="0.25"/>
    <row r="110" s="23" customFormat="1" ht="15.75" customHeight="1" x14ac:dyDescent="0.25"/>
    <row r="111" s="23" customFormat="1" ht="15.75" customHeight="1" x14ac:dyDescent="0.25"/>
    <row r="112" s="23" customFormat="1" ht="15.75" customHeight="1" x14ac:dyDescent="0.25"/>
    <row r="113" s="23" customFormat="1" ht="15.75" customHeight="1" x14ac:dyDescent="0.25"/>
    <row r="114" s="23" customFormat="1" ht="15.75" customHeight="1" x14ac:dyDescent="0.25"/>
    <row r="115" s="23" customFormat="1" ht="15.75" customHeight="1" x14ac:dyDescent="0.25"/>
    <row r="116" s="23" customFormat="1" ht="15.75" customHeight="1" x14ac:dyDescent="0.25"/>
    <row r="117" s="23" customFormat="1" ht="15.75" customHeight="1" x14ac:dyDescent="0.25"/>
    <row r="118" s="23" customFormat="1" ht="15.75" customHeight="1" x14ac:dyDescent="0.25"/>
    <row r="119" s="23" customFormat="1" ht="15.75" customHeight="1" x14ac:dyDescent="0.25"/>
    <row r="120" s="23" customFormat="1" ht="15.75" customHeight="1" x14ac:dyDescent="0.25"/>
    <row r="121" s="23" customFormat="1" ht="15.75" customHeight="1" x14ac:dyDescent="0.25"/>
    <row r="122" s="23" customFormat="1" ht="15.75" customHeight="1" x14ac:dyDescent="0.25"/>
    <row r="123" s="23" customFormat="1" ht="15.75" customHeight="1" x14ac:dyDescent="0.25"/>
    <row r="124" s="23" customFormat="1" ht="15.75" customHeight="1" x14ac:dyDescent="0.25"/>
    <row r="125" s="23" customFormat="1" ht="15.75" customHeight="1" x14ac:dyDescent="0.25"/>
    <row r="126" s="23" customFormat="1" ht="15.75" customHeight="1" x14ac:dyDescent="0.25"/>
    <row r="127" s="23" customFormat="1" ht="15.75" customHeight="1" x14ac:dyDescent="0.25"/>
    <row r="128" s="23" customFormat="1" ht="15.75" customHeight="1" x14ac:dyDescent="0.25"/>
    <row r="129" s="23" customFormat="1" ht="15.75" customHeight="1" x14ac:dyDescent="0.25"/>
    <row r="130" s="23" customFormat="1" ht="15.75" customHeight="1" x14ac:dyDescent="0.25"/>
    <row r="131" s="23" customFormat="1" ht="15.75" customHeight="1" x14ac:dyDescent="0.25"/>
    <row r="132" s="23" customFormat="1" ht="15.75" customHeight="1" x14ac:dyDescent="0.25"/>
    <row r="133" s="23" customFormat="1" ht="15.75" customHeight="1" x14ac:dyDescent="0.25"/>
    <row r="134" s="23" customFormat="1" ht="15.75" customHeight="1" x14ac:dyDescent="0.25"/>
    <row r="135" s="23" customFormat="1" ht="15.75" customHeight="1" x14ac:dyDescent="0.25"/>
    <row r="136" s="23" customFormat="1" ht="15.75" customHeight="1" x14ac:dyDescent="0.25"/>
    <row r="137" s="23" customFormat="1" ht="15.75" customHeight="1" x14ac:dyDescent="0.25"/>
    <row r="138" s="23" customFormat="1" ht="15.75" customHeight="1" x14ac:dyDescent="0.25"/>
    <row r="139" s="23" customFormat="1" ht="15.75" customHeight="1" x14ac:dyDescent="0.25"/>
    <row r="140" s="23" customFormat="1" ht="15.75" customHeight="1" x14ac:dyDescent="0.25"/>
    <row r="141" s="23" customFormat="1" ht="15.75" customHeight="1" x14ac:dyDescent="0.25"/>
    <row r="142" s="23" customFormat="1" ht="15.75" customHeight="1" x14ac:dyDescent="0.25"/>
    <row r="143" s="23" customFormat="1" ht="15.75" customHeight="1" x14ac:dyDescent="0.25"/>
    <row r="144" s="23" customFormat="1" ht="15.75" customHeight="1" x14ac:dyDescent="0.25"/>
    <row r="145" s="23" customFormat="1" ht="15.75" customHeight="1" x14ac:dyDescent="0.25"/>
    <row r="146" s="23" customFormat="1" ht="15.75" customHeight="1" x14ac:dyDescent="0.25"/>
    <row r="147" s="23" customFormat="1" ht="15.75" customHeight="1" x14ac:dyDescent="0.25"/>
    <row r="148" s="23" customFormat="1" ht="15.75" customHeight="1" x14ac:dyDescent="0.25"/>
    <row r="149" s="23" customFormat="1" ht="15.75" customHeight="1" x14ac:dyDescent="0.25"/>
    <row r="150" s="23" customFormat="1" ht="15.75" customHeight="1" x14ac:dyDescent="0.25"/>
    <row r="151" s="23" customFormat="1" ht="15.75" customHeight="1" x14ac:dyDescent="0.25"/>
    <row r="152" s="23" customFormat="1" ht="15.75" customHeight="1" x14ac:dyDescent="0.25"/>
    <row r="153" s="23" customFormat="1" ht="15.75" customHeight="1" x14ac:dyDescent="0.25"/>
    <row r="154" s="23" customFormat="1" ht="15.75" customHeight="1" x14ac:dyDescent="0.25"/>
    <row r="155" s="23" customFormat="1" ht="15.75" customHeight="1" x14ac:dyDescent="0.25"/>
    <row r="156" s="23" customFormat="1" ht="15.75" customHeight="1" x14ac:dyDescent="0.25"/>
    <row r="157" s="23" customFormat="1" ht="15.75" customHeight="1" x14ac:dyDescent="0.25"/>
    <row r="158" s="23" customFormat="1" ht="15.75" customHeight="1" x14ac:dyDescent="0.25"/>
    <row r="159" s="23" customFormat="1" ht="15.75" customHeight="1" x14ac:dyDescent="0.25"/>
    <row r="160" s="23" customFormat="1" ht="15.75" customHeight="1" x14ac:dyDescent="0.25"/>
    <row r="161" s="23" customFormat="1" ht="15.75" customHeight="1" x14ac:dyDescent="0.25"/>
    <row r="162" s="23" customFormat="1" ht="15.75" customHeight="1" x14ac:dyDescent="0.25"/>
    <row r="163" s="23" customFormat="1" ht="15.75" customHeight="1" x14ac:dyDescent="0.25"/>
    <row r="164" s="23" customFormat="1" ht="15.75" customHeight="1" x14ac:dyDescent="0.25"/>
    <row r="165" s="23" customFormat="1" ht="15.75" customHeight="1" x14ac:dyDescent="0.25"/>
    <row r="166" s="23" customFormat="1" ht="15.75" customHeight="1" x14ac:dyDescent="0.25"/>
    <row r="167" s="23" customFormat="1" ht="15.75" customHeight="1" x14ac:dyDescent="0.25"/>
    <row r="168" s="23" customFormat="1" ht="15.75" customHeight="1" x14ac:dyDescent="0.25"/>
    <row r="169" s="23" customFormat="1" ht="15.75" customHeight="1" x14ac:dyDescent="0.25"/>
    <row r="170" s="23" customFormat="1" ht="15.75" customHeight="1" x14ac:dyDescent="0.25"/>
    <row r="171" s="23" customFormat="1" ht="15.75" customHeight="1" x14ac:dyDescent="0.25"/>
    <row r="172" s="23" customFormat="1" ht="15.75" customHeight="1" x14ac:dyDescent="0.25"/>
    <row r="173" s="23" customFormat="1" ht="15.75" customHeight="1" x14ac:dyDescent="0.25"/>
    <row r="174" s="23" customFormat="1" ht="15.75" customHeight="1" x14ac:dyDescent="0.25"/>
    <row r="175" s="23" customFormat="1" ht="15.75" customHeight="1" x14ac:dyDescent="0.25"/>
    <row r="176" s="23" customFormat="1" ht="15.75" customHeight="1" x14ac:dyDescent="0.25"/>
    <row r="177" s="23" customFormat="1" ht="15.75" customHeight="1" x14ac:dyDescent="0.25"/>
    <row r="178" s="23" customFormat="1" ht="15.75" customHeight="1" x14ac:dyDescent="0.25"/>
    <row r="179" s="23" customFormat="1" ht="15.75" customHeight="1" x14ac:dyDescent="0.25"/>
    <row r="180" s="23" customFormat="1" ht="15.75" customHeight="1" x14ac:dyDescent="0.25"/>
    <row r="181" s="23" customFormat="1" ht="15.75" customHeight="1" x14ac:dyDescent="0.25"/>
    <row r="182" s="23" customFormat="1" ht="15.75" customHeight="1" x14ac:dyDescent="0.25"/>
    <row r="183" s="23" customFormat="1" ht="15.75" customHeight="1" x14ac:dyDescent="0.25"/>
    <row r="184" s="23" customFormat="1" ht="15.75" customHeight="1" x14ac:dyDescent="0.25"/>
    <row r="185" s="23" customFormat="1" ht="15.75" customHeight="1" x14ac:dyDescent="0.25"/>
    <row r="186" s="23" customFormat="1" ht="15.75" customHeight="1" x14ac:dyDescent="0.25"/>
    <row r="187" s="23" customFormat="1" ht="15.75" customHeight="1" x14ac:dyDescent="0.25"/>
    <row r="188" s="23" customFormat="1" ht="15.75" customHeight="1" x14ac:dyDescent="0.25"/>
    <row r="189" s="23" customFormat="1" ht="15.75" customHeight="1" x14ac:dyDescent="0.25"/>
    <row r="190" s="23" customFormat="1" ht="15.75" customHeight="1" x14ac:dyDescent="0.25"/>
    <row r="191" s="23" customFormat="1" ht="15.75" customHeight="1" x14ac:dyDescent="0.25"/>
    <row r="192" s="23" customFormat="1" ht="15.75" customHeight="1" x14ac:dyDescent="0.25"/>
    <row r="193" s="23" customFormat="1" ht="15.75" customHeight="1" x14ac:dyDescent="0.25"/>
    <row r="194" s="23" customFormat="1" ht="15.75" customHeight="1" x14ac:dyDescent="0.25"/>
    <row r="195" s="23" customFormat="1" ht="15.75" customHeight="1" x14ac:dyDescent="0.25"/>
    <row r="196" s="23" customFormat="1" ht="15.75" customHeight="1" x14ac:dyDescent="0.25"/>
    <row r="197" s="23" customFormat="1" ht="15.75" customHeight="1" x14ac:dyDescent="0.25"/>
    <row r="198" s="23" customFormat="1" ht="15.75" customHeight="1" x14ac:dyDescent="0.25"/>
    <row r="199" s="23" customFormat="1" ht="15.75" customHeight="1" x14ac:dyDescent="0.25"/>
    <row r="200" s="23" customFormat="1" ht="15.75" customHeight="1" x14ac:dyDescent="0.25"/>
    <row r="201" s="23" customFormat="1" ht="15.75" customHeight="1" x14ac:dyDescent="0.25"/>
    <row r="202" s="23" customFormat="1" ht="15.75" customHeight="1" x14ac:dyDescent="0.25"/>
    <row r="203" s="23" customFormat="1" ht="15.75" customHeight="1" x14ac:dyDescent="0.25"/>
    <row r="204" s="23" customFormat="1" ht="15.75" customHeight="1" x14ac:dyDescent="0.25"/>
    <row r="205" s="23" customFormat="1" ht="15.75" customHeight="1" x14ac:dyDescent="0.25"/>
    <row r="206" s="23" customFormat="1" ht="15.75" customHeight="1" x14ac:dyDescent="0.25"/>
    <row r="207" s="23" customFormat="1" ht="15.75" customHeight="1" x14ac:dyDescent="0.25"/>
    <row r="208" s="23" customFormat="1" ht="15.75" customHeight="1" x14ac:dyDescent="0.25"/>
    <row r="209" s="23" customFormat="1" ht="15.75" customHeight="1" x14ac:dyDescent="0.25"/>
    <row r="210" s="23" customFormat="1" ht="15.75" customHeight="1" x14ac:dyDescent="0.25"/>
    <row r="211" s="23" customFormat="1" ht="15.75" customHeight="1" x14ac:dyDescent="0.25"/>
    <row r="212" s="23" customFormat="1" ht="15.75" customHeight="1" x14ac:dyDescent="0.25"/>
    <row r="213" s="23" customFormat="1" ht="15.75" customHeight="1" x14ac:dyDescent="0.25"/>
    <row r="214" s="23" customFormat="1" ht="15.75" customHeight="1" x14ac:dyDescent="0.25"/>
    <row r="215" s="23" customFormat="1" ht="15.75" customHeight="1" x14ac:dyDescent="0.25"/>
    <row r="216" s="23" customFormat="1" ht="15.75" customHeight="1" x14ac:dyDescent="0.25"/>
    <row r="217" s="23" customFormat="1" ht="15.75" customHeight="1" x14ac:dyDescent="0.25"/>
    <row r="218" s="23" customFormat="1" ht="15.75" customHeight="1" x14ac:dyDescent="0.25"/>
    <row r="219" s="23" customFormat="1" ht="15.75" customHeight="1" x14ac:dyDescent="0.25"/>
    <row r="220" s="23" customFormat="1" ht="15.75" customHeight="1" x14ac:dyDescent="0.25"/>
    <row r="221" s="23" customFormat="1" ht="15.75" customHeight="1" x14ac:dyDescent="0.25"/>
    <row r="222" s="23" customFormat="1" ht="15.75" customHeight="1" x14ac:dyDescent="0.25"/>
    <row r="223" s="23" customFormat="1" ht="15.75" customHeight="1" x14ac:dyDescent="0.25"/>
    <row r="224" s="23" customFormat="1" ht="15.75" customHeight="1" x14ac:dyDescent="0.25"/>
    <row r="225" s="23" customFormat="1" ht="15.75" customHeight="1" x14ac:dyDescent="0.25"/>
    <row r="226" s="23" customFormat="1" ht="15.75" customHeight="1" x14ac:dyDescent="0.25"/>
    <row r="227" s="23" customFormat="1" ht="15.75" customHeight="1" x14ac:dyDescent="0.25"/>
    <row r="228" s="23" customFormat="1" ht="15.75" customHeight="1" x14ac:dyDescent="0.25"/>
    <row r="229" s="23" customFormat="1" ht="15.75" customHeight="1" x14ac:dyDescent="0.25"/>
    <row r="230" s="23" customFormat="1" ht="15.75" customHeight="1" x14ac:dyDescent="0.25"/>
    <row r="231" s="23" customFormat="1" ht="15.75" customHeight="1" x14ac:dyDescent="0.25"/>
    <row r="232" s="23" customFormat="1" ht="15.75" customHeight="1" x14ac:dyDescent="0.25"/>
    <row r="233" s="23" customFormat="1" ht="15.75" customHeight="1" x14ac:dyDescent="0.25"/>
    <row r="234" s="23" customFormat="1" ht="15.75" customHeight="1" x14ac:dyDescent="0.25"/>
    <row r="235" s="23" customFormat="1" ht="15.75" customHeight="1" x14ac:dyDescent="0.25"/>
    <row r="236" s="23" customFormat="1" ht="15.75" customHeight="1" x14ac:dyDescent="0.25"/>
    <row r="237" s="23" customFormat="1" ht="15.75" customHeight="1" x14ac:dyDescent="0.25"/>
    <row r="238" s="23" customFormat="1" ht="15.75" customHeight="1" x14ac:dyDescent="0.25"/>
    <row r="239" s="23" customFormat="1" ht="15.75" customHeight="1" x14ac:dyDescent="0.25"/>
    <row r="240" s="23" customFormat="1" ht="15.75" customHeight="1" x14ac:dyDescent="0.25"/>
    <row r="241" s="23" customFormat="1" ht="15.75" customHeight="1" x14ac:dyDescent="0.25"/>
    <row r="242" s="23" customFormat="1" ht="15.75" customHeight="1" x14ac:dyDescent="0.25"/>
    <row r="243" s="23" customFormat="1" ht="15.75" customHeight="1" x14ac:dyDescent="0.25"/>
    <row r="244" s="23" customFormat="1" ht="15.75" customHeight="1" x14ac:dyDescent="0.25"/>
    <row r="245" s="23" customFormat="1" ht="15.75" customHeight="1" x14ac:dyDescent="0.25"/>
    <row r="246" s="23" customFormat="1" ht="15.75" customHeight="1" x14ac:dyDescent="0.25"/>
    <row r="247" s="23" customFormat="1" ht="15.75" customHeight="1" x14ac:dyDescent="0.25"/>
    <row r="248" s="23" customFormat="1" ht="15.75" customHeight="1" x14ac:dyDescent="0.25"/>
    <row r="249" s="23" customFormat="1" ht="15.75" customHeight="1" x14ac:dyDescent="0.25"/>
    <row r="250" s="23" customFormat="1" ht="15.75" customHeight="1" x14ac:dyDescent="0.25"/>
    <row r="251" s="23" customFormat="1" ht="15.75" customHeight="1" x14ac:dyDescent="0.25"/>
    <row r="252" s="23" customFormat="1" ht="15.75" customHeight="1" x14ac:dyDescent="0.25"/>
    <row r="253" s="23" customFormat="1" ht="15.75" customHeight="1" x14ac:dyDescent="0.25"/>
    <row r="254" s="23" customFormat="1" ht="15.75" customHeight="1" x14ac:dyDescent="0.25"/>
    <row r="255" s="23" customFormat="1" ht="15.75" customHeight="1" x14ac:dyDescent="0.25"/>
    <row r="256" s="23" customFormat="1" ht="15.75" customHeight="1" x14ac:dyDescent="0.25"/>
    <row r="257" s="23" customFormat="1" ht="15.75" customHeight="1" x14ac:dyDescent="0.25"/>
    <row r="258" s="23" customFormat="1" ht="15.75" customHeight="1" x14ac:dyDescent="0.25"/>
    <row r="259" s="23" customFormat="1" ht="15.75" customHeight="1" x14ac:dyDescent="0.25"/>
    <row r="260" s="23" customFormat="1" ht="15.75" customHeight="1" x14ac:dyDescent="0.25"/>
    <row r="261" s="23" customFormat="1" ht="15.75" customHeight="1" x14ac:dyDescent="0.25"/>
    <row r="262" s="23" customFormat="1" ht="15.75" customHeight="1" x14ac:dyDescent="0.25"/>
    <row r="263" s="23" customFormat="1" ht="15.75" customHeight="1" x14ac:dyDescent="0.25"/>
    <row r="264" s="23" customFormat="1" ht="15.75" customHeight="1" x14ac:dyDescent="0.25"/>
    <row r="265" s="23" customFormat="1" ht="15.75" customHeight="1" x14ac:dyDescent="0.25"/>
    <row r="266" s="23" customFormat="1" ht="15.75" customHeight="1" x14ac:dyDescent="0.25"/>
    <row r="267" s="23" customFormat="1" ht="15.75" customHeight="1" x14ac:dyDescent="0.25"/>
    <row r="268" s="23" customFormat="1" ht="15.75" customHeight="1" x14ac:dyDescent="0.25"/>
    <row r="269" s="23" customFormat="1" ht="15.75" customHeight="1" x14ac:dyDescent="0.25"/>
    <row r="270" s="23" customFormat="1" ht="15.75" customHeight="1" x14ac:dyDescent="0.25"/>
    <row r="271" s="23" customFormat="1" ht="15.75" customHeight="1" x14ac:dyDescent="0.25"/>
    <row r="272" s="23" customFormat="1" ht="15.75" customHeight="1" x14ac:dyDescent="0.25"/>
    <row r="273" s="23" customFormat="1" ht="15.75" customHeight="1" x14ac:dyDescent="0.25"/>
    <row r="274" s="23" customFormat="1" ht="15.75" customHeight="1" x14ac:dyDescent="0.25"/>
    <row r="275" s="23" customFormat="1" ht="15.75" customHeight="1" x14ac:dyDescent="0.25"/>
    <row r="276" s="23" customFormat="1" ht="15.75" customHeight="1" x14ac:dyDescent="0.25"/>
    <row r="277" s="23" customFormat="1" ht="15.75" customHeight="1" x14ac:dyDescent="0.25"/>
    <row r="278" s="23" customFormat="1" ht="15.75" customHeight="1" x14ac:dyDescent="0.25"/>
    <row r="279" s="23" customFormat="1" ht="15.75" customHeight="1" x14ac:dyDescent="0.25"/>
    <row r="280" s="23" customFormat="1" ht="15.75" customHeight="1" x14ac:dyDescent="0.25"/>
    <row r="281" s="23" customFormat="1" ht="15.75" customHeight="1" x14ac:dyDescent="0.25"/>
    <row r="282" s="23" customFormat="1" ht="15.75" customHeight="1" x14ac:dyDescent="0.25"/>
    <row r="283" s="23" customFormat="1" ht="15.75" customHeight="1" x14ac:dyDescent="0.25"/>
    <row r="284" s="23" customFormat="1" ht="15.75" customHeight="1" x14ac:dyDescent="0.25"/>
    <row r="285" s="23" customFormat="1" ht="15.75" customHeight="1" x14ac:dyDescent="0.25"/>
    <row r="286" s="23" customFormat="1" ht="15.75" customHeight="1" x14ac:dyDescent="0.25"/>
    <row r="287" s="23" customFormat="1" ht="15.75" customHeight="1" x14ac:dyDescent="0.25"/>
    <row r="288" s="23" customFormat="1" ht="15.75" customHeight="1" x14ac:dyDescent="0.25"/>
    <row r="289" s="23" customFormat="1" ht="15.75" customHeight="1" x14ac:dyDescent="0.25"/>
    <row r="290" s="23" customFormat="1" ht="15.75" customHeight="1" x14ac:dyDescent="0.25"/>
    <row r="291" s="23" customFormat="1" ht="15.75" customHeight="1" x14ac:dyDescent="0.25"/>
    <row r="292" s="23" customFormat="1" ht="15.75" customHeight="1" x14ac:dyDescent="0.25"/>
    <row r="293" s="23" customFormat="1" ht="15.75" customHeight="1" x14ac:dyDescent="0.25"/>
    <row r="294" s="23" customFormat="1" ht="15.75" customHeight="1" x14ac:dyDescent="0.25"/>
    <row r="295" s="23" customFormat="1" ht="15.75" customHeight="1" x14ac:dyDescent="0.25"/>
    <row r="296" s="23" customFormat="1" ht="15.75" customHeight="1" x14ac:dyDescent="0.25"/>
    <row r="297" s="23" customFormat="1" ht="15.75" customHeight="1" x14ac:dyDescent="0.25"/>
    <row r="298" s="23" customFormat="1" ht="15.75" customHeight="1" x14ac:dyDescent="0.25"/>
    <row r="299" s="23" customFormat="1" ht="15.75" customHeight="1" x14ac:dyDescent="0.25"/>
    <row r="300" s="23" customFormat="1" ht="15.75" customHeight="1" x14ac:dyDescent="0.25"/>
    <row r="301" s="23" customFormat="1" ht="15.75" customHeight="1" x14ac:dyDescent="0.25"/>
    <row r="302" s="23" customFormat="1" ht="15.75" customHeight="1" x14ac:dyDescent="0.25"/>
    <row r="303" s="23" customFormat="1" ht="15.75" customHeight="1" x14ac:dyDescent="0.25"/>
    <row r="304" s="23" customFormat="1" ht="15.75" customHeight="1" x14ac:dyDescent="0.25"/>
    <row r="305" s="23" customFormat="1" ht="15.75" customHeight="1" x14ac:dyDescent="0.25"/>
    <row r="306" s="23" customFormat="1" ht="15.75" customHeight="1" x14ac:dyDescent="0.25"/>
    <row r="307" s="23" customFormat="1" ht="15.75" customHeight="1" x14ac:dyDescent="0.25"/>
    <row r="308" s="23" customFormat="1" ht="15.75" customHeight="1" x14ac:dyDescent="0.25"/>
    <row r="309" s="23" customFormat="1" ht="15.75" customHeight="1" x14ac:dyDescent="0.25"/>
    <row r="310" s="23" customFormat="1" ht="15.75" customHeight="1" x14ac:dyDescent="0.25"/>
    <row r="311" s="23" customFormat="1" ht="15.75" customHeight="1" x14ac:dyDescent="0.25"/>
    <row r="312" s="23" customFormat="1" ht="15.75" customHeight="1" x14ac:dyDescent="0.25"/>
    <row r="313" s="23" customFormat="1" ht="15.75" customHeight="1" x14ac:dyDescent="0.25"/>
    <row r="314" s="23" customFormat="1" ht="15.75" customHeight="1" x14ac:dyDescent="0.25"/>
    <row r="315" s="23" customFormat="1" ht="15.75" customHeight="1" x14ac:dyDescent="0.25"/>
    <row r="316" s="23" customFormat="1" ht="15.75" customHeight="1" x14ac:dyDescent="0.25"/>
    <row r="317" s="23" customFormat="1" ht="15.75" customHeight="1" x14ac:dyDescent="0.25"/>
    <row r="318" s="23" customFormat="1" ht="15.75" customHeight="1" x14ac:dyDescent="0.25"/>
    <row r="319" s="23" customFormat="1" ht="15.75" customHeight="1" x14ac:dyDescent="0.25"/>
    <row r="320" s="23" customFormat="1" ht="15.75" customHeight="1" x14ac:dyDescent="0.25"/>
    <row r="321" s="23" customFormat="1" ht="15.75" customHeight="1" x14ac:dyDescent="0.25"/>
    <row r="322" s="23" customFormat="1" ht="15.75" customHeight="1" x14ac:dyDescent="0.25"/>
    <row r="323" s="23" customFormat="1" ht="15.75" customHeight="1" x14ac:dyDescent="0.25"/>
    <row r="324" s="23" customFormat="1" ht="15.75" customHeight="1" x14ac:dyDescent="0.25"/>
    <row r="325" s="23" customFormat="1" ht="15.75" customHeight="1" x14ac:dyDescent="0.25"/>
    <row r="326" s="23" customFormat="1" ht="15.75" customHeight="1" x14ac:dyDescent="0.25"/>
    <row r="327" s="23" customFormat="1" ht="15.75" customHeight="1" x14ac:dyDescent="0.25"/>
    <row r="328" s="23" customFormat="1" ht="15.75" customHeight="1" x14ac:dyDescent="0.25"/>
    <row r="329" s="23" customFormat="1" ht="15.75" customHeight="1" x14ac:dyDescent="0.25"/>
    <row r="330" s="23" customFormat="1" ht="15.75" customHeight="1" x14ac:dyDescent="0.25"/>
    <row r="331" s="23" customFormat="1" ht="15.75" customHeight="1" x14ac:dyDescent="0.25"/>
    <row r="332" s="23" customFormat="1" ht="15.75" customHeight="1" x14ac:dyDescent="0.25"/>
    <row r="333" s="23" customFormat="1" ht="15.75" customHeight="1" x14ac:dyDescent="0.25"/>
    <row r="334" s="23" customFormat="1" ht="15.75" customHeight="1" x14ac:dyDescent="0.25"/>
    <row r="335" s="23" customFormat="1" ht="15.75" customHeight="1" x14ac:dyDescent="0.25"/>
    <row r="336" s="23" customFormat="1" ht="15.75" customHeight="1" x14ac:dyDescent="0.25"/>
    <row r="337" s="23" customFormat="1" ht="15.75" customHeight="1" x14ac:dyDescent="0.25"/>
    <row r="338" s="23" customFormat="1" ht="15.75" customHeight="1" x14ac:dyDescent="0.25"/>
    <row r="339" s="23" customFormat="1" ht="15.75" customHeight="1" x14ac:dyDescent="0.25"/>
    <row r="340" s="23" customFormat="1" ht="15.75" customHeight="1" x14ac:dyDescent="0.25"/>
    <row r="341" s="23" customFormat="1" ht="15.75" customHeight="1" x14ac:dyDescent="0.25"/>
    <row r="342" s="23" customFormat="1" ht="15.75" customHeight="1" x14ac:dyDescent="0.25"/>
    <row r="343" s="23" customFormat="1" ht="15.75" customHeight="1" x14ac:dyDescent="0.25"/>
    <row r="344" s="23" customFormat="1" ht="15.75" customHeight="1" x14ac:dyDescent="0.25"/>
    <row r="345" s="23" customFormat="1" ht="15.75" customHeight="1" x14ac:dyDescent="0.25"/>
    <row r="346" s="23" customFormat="1" ht="15.75" customHeight="1" x14ac:dyDescent="0.25"/>
    <row r="347" s="23" customFormat="1" ht="15.75" customHeight="1" x14ac:dyDescent="0.25"/>
    <row r="348" s="23" customFormat="1" ht="15.75" customHeight="1" x14ac:dyDescent="0.25"/>
    <row r="349" s="23" customFormat="1" ht="15.75" customHeight="1" x14ac:dyDescent="0.25"/>
    <row r="350" s="23" customFormat="1" ht="15.75" customHeight="1" x14ac:dyDescent="0.25"/>
    <row r="351" s="23" customFormat="1" ht="15.75" customHeight="1" x14ac:dyDescent="0.25"/>
    <row r="352" s="23" customFormat="1" ht="15.75" customHeight="1" x14ac:dyDescent="0.25"/>
    <row r="353" s="23" customFormat="1" ht="15.75" customHeight="1" x14ac:dyDescent="0.25"/>
    <row r="354" s="23" customFormat="1" ht="15.75" customHeight="1" x14ac:dyDescent="0.25"/>
    <row r="355" s="23" customFormat="1" ht="15.75" customHeight="1" x14ac:dyDescent="0.25"/>
    <row r="356" s="23" customFormat="1" ht="15.75" customHeight="1" x14ac:dyDescent="0.25"/>
    <row r="357" s="23" customFormat="1" ht="15.75" customHeight="1" x14ac:dyDescent="0.25"/>
    <row r="358" s="23" customFormat="1" ht="15.75" customHeight="1" x14ac:dyDescent="0.25"/>
    <row r="359" s="23" customFormat="1" ht="15.75" customHeight="1" x14ac:dyDescent="0.25"/>
    <row r="360" s="23" customFormat="1" ht="15.75" customHeight="1" x14ac:dyDescent="0.25"/>
    <row r="361" s="23" customFormat="1" ht="15.75" customHeight="1" x14ac:dyDescent="0.25"/>
    <row r="362" s="23" customFormat="1" ht="15.75" customHeight="1" x14ac:dyDescent="0.25"/>
    <row r="363" s="23" customFormat="1" ht="15.75" customHeight="1" x14ac:dyDescent="0.25"/>
    <row r="364" s="23" customFormat="1" ht="15.75" customHeight="1" x14ac:dyDescent="0.25"/>
    <row r="365" s="23" customFormat="1" ht="15.75" customHeight="1" x14ac:dyDescent="0.25"/>
    <row r="366" s="23" customFormat="1" ht="15.75" customHeight="1" x14ac:dyDescent="0.25"/>
    <row r="367" s="23" customFormat="1" ht="15.75" customHeight="1" x14ac:dyDescent="0.25"/>
    <row r="368" s="23" customFormat="1" ht="15.75" customHeight="1" x14ac:dyDescent="0.25"/>
    <row r="369" s="23" customFormat="1" ht="15.75" customHeight="1" x14ac:dyDescent="0.25"/>
    <row r="370" s="23" customFormat="1" ht="15.75" customHeight="1" x14ac:dyDescent="0.25"/>
    <row r="371" s="23" customFormat="1" ht="15.75" customHeight="1" x14ac:dyDescent="0.25"/>
    <row r="372" s="23" customFormat="1" ht="15.75" customHeight="1" x14ac:dyDescent="0.25"/>
    <row r="373" s="23" customFormat="1" ht="15.75" customHeight="1" x14ac:dyDescent="0.25"/>
    <row r="374" s="23" customFormat="1" ht="15.75" customHeight="1" x14ac:dyDescent="0.25"/>
    <row r="375" s="23" customFormat="1" ht="15.75" customHeight="1" x14ac:dyDescent="0.25"/>
    <row r="376" s="23" customFormat="1" ht="15.75" customHeight="1" x14ac:dyDescent="0.25"/>
    <row r="377" s="23" customFormat="1" ht="15.75" customHeight="1" x14ac:dyDescent="0.25"/>
    <row r="378" s="23" customFormat="1" ht="15.75" customHeight="1" x14ac:dyDescent="0.25"/>
    <row r="379" s="23" customFormat="1" ht="15.75" customHeight="1" x14ac:dyDescent="0.25"/>
    <row r="380" s="23" customFormat="1" ht="15.75" customHeight="1" x14ac:dyDescent="0.25"/>
    <row r="381" s="23" customFormat="1" ht="15.75" customHeight="1" x14ac:dyDescent="0.25"/>
    <row r="382" s="23" customFormat="1" ht="15.75" customHeight="1" x14ac:dyDescent="0.25"/>
    <row r="383" s="23" customFormat="1" ht="15.75" customHeight="1" x14ac:dyDescent="0.25"/>
    <row r="384" s="23" customFormat="1" ht="15.75" customHeight="1" x14ac:dyDescent="0.25"/>
    <row r="385" s="23" customFormat="1" ht="15.75" customHeight="1" x14ac:dyDescent="0.25"/>
    <row r="386" s="23" customFormat="1" ht="15.75" customHeight="1" x14ac:dyDescent="0.25"/>
    <row r="387" s="23" customFormat="1" ht="15.75" customHeight="1" x14ac:dyDescent="0.25"/>
    <row r="388" s="23" customFormat="1" ht="15.75" customHeight="1" x14ac:dyDescent="0.25"/>
    <row r="389" s="23" customFormat="1" ht="15.75" customHeight="1" x14ac:dyDescent="0.25"/>
    <row r="390" s="23" customFormat="1" ht="15.75" customHeight="1" x14ac:dyDescent="0.25"/>
    <row r="391" s="23" customFormat="1" ht="15.75" customHeight="1" x14ac:dyDescent="0.25"/>
    <row r="392" s="23" customFormat="1" ht="15.75" customHeight="1" x14ac:dyDescent="0.25"/>
    <row r="393" s="23" customFormat="1" ht="15.75" customHeight="1" x14ac:dyDescent="0.25"/>
    <row r="394" s="23" customFormat="1" ht="15.75" customHeight="1" x14ac:dyDescent="0.25"/>
    <row r="395" s="23" customFormat="1" ht="15.75" customHeight="1" x14ac:dyDescent="0.25"/>
    <row r="396" s="23" customFormat="1" ht="15.75" customHeight="1" x14ac:dyDescent="0.25"/>
    <row r="397" s="23" customFormat="1" ht="15.75" customHeight="1" x14ac:dyDescent="0.25"/>
    <row r="398" s="23" customFormat="1" ht="15.75" customHeight="1" x14ac:dyDescent="0.25"/>
    <row r="399" s="23" customFormat="1" ht="15.75" customHeight="1" x14ac:dyDescent="0.25"/>
    <row r="400" s="23" customFormat="1" ht="15.75" customHeight="1" x14ac:dyDescent="0.25"/>
    <row r="401" s="23" customFormat="1" ht="15.75" customHeight="1" x14ac:dyDescent="0.25"/>
    <row r="402" s="23" customFormat="1" ht="15.75" customHeight="1" x14ac:dyDescent="0.25"/>
    <row r="403" s="23" customFormat="1" ht="15.75" customHeight="1" x14ac:dyDescent="0.25"/>
    <row r="404" s="23" customFormat="1" ht="15.75" customHeight="1" x14ac:dyDescent="0.25"/>
    <row r="405" s="23" customFormat="1" ht="15.75" customHeight="1" x14ac:dyDescent="0.25"/>
    <row r="406" s="23" customFormat="1" ht="15.75" customHeight="1" x14ac:dyDescent="0.25"/>
    <row r="407" s="23" customFormat="1" ht="15.75" customHeight="1" x14ac:dyDescent="0.25"/>
    <row r="408" s="23" customFormat="1" ht="15.75" customHeight="1" x14ac:dyDescent="0.25"/>
    <row r="409" s="23" customFormat="1" ht="15.75" customHeight="1" x14ac:dyDescent="0.25"/>
    <row r="410" s="23" customFormat="1" ht="15.75" customHeight="1" x14ac:dyDescent="0.25"/>
    <row r="411" s="23" customFormat="1" ht="15.75" customHeight="1" x14ac:dyDescent="0.25"/>
    <row r="412" s="23" customFormat="1" ht="15.75" customHeight="1" x14ac:dyDescent="0.25"/>
    <row r="413" s="23" customFormat="1" ht="15.75" customHeight="1" x14ac:dyDescent="0.25"/>
    <row r="414" s="23" customFormat="1" ht="15.75" customHeight="1" x14ac:dyDescent="0.25"/>
    <row r="415" s="23" customFormat="1" ht="15.75" customHeight="1" x14ac:dyDescent="0.25"/>
    <row r="416" s="23" customFormat="1" ht="15.75" customHeight="1" x14ac:dyDescent="0.25"/>
    <row r="417" s="23" customFormat="1" ht="15.75" customHeight="1" x14ac:dyDescent="0.25"/>
    <row r="418" s="23" customFormat="1" ht="15.75" customHeight="1" x14ac:dyDescent="0.25"/>
    <row r="419" s="23" customFormat="1" ht="15.75" customHeight="1" x14ac:dyDescent="0.25"/>
    <row r="420" s="23" customFormat="1" ht="15.75" customHeight="1" x14ac:dyDescent="0.25"/>
    <row r="421" s="23" customFormat="1" ht="15.75" customHeight="1" x14ac:dyDescent="0.25"/>
    <row r="422" s="23" customFormat="1" ht="15.75" customHeight="1" x14ac:dyDescent="0.25"/>
    <row r="423" s="23" customFormat="1" ht="15.75" customHeight="1" x14ac:dyDescent="0.25"/>
    <row r="424" s="23" customFormat="1" ht="15.75" customHeight="1" x14ac:dyDescent="0.25"/>
    <row r="425" s="23" customFormat="1" ht="15.75" customHeight="1" x14ac:dyDescent="0.25"/>
    <row r="426" s="23" customFormat="1" ht="15.75" customHeight="1" x14ac:dyDescent="0.25"/>
    <row r="427" s="23" customFormat="1" ht="15.75" customHeight="1" x14ac:dyDescent="0.25"/>
    <row r="428" s="23" customFormat="1" ht="15.75" customHeight="1" x14ac:dyDescent="0.25"/>
    <row r="429" s="23" customFormat="1" ht="15.75" customHeight="1" x14ac:dyDescent="0.25"/>
    <row r="430" s="23" customFormat="1" ht="15.75" customHeight="1" x14ac:dyDescent="0.25"/>
    <row r="431" s="23" customFormat="1" ht="15.75" customHeight="1" x14ac:dyDescent="0.25"/>
    <row r="432" s="23" customFormat="1" ht="15.75" customHeight="1" x14ac:dyDescent="0.25"/>
    <row r="433" s="23" customFormat="1" ht="15.75" customHeight="1" x14ac:dyDescent="0.25"/>
    <row r="434" s="23" customFormat="1" ht="15.75" customHeight="1" x14ac:dyDescent="0.25"/>
    <row r="435" s="23" customFormat="1" ht="15.75" customHeight="1" x14ac:dyDescent="0.25"/>
    <row r="436" s="23" customFormat="1" ht="15.75" customHeight="1" x14ac:dyDescent="0.25"/>
    <row r="437" s="23" customFormat="1" ht="15.75" customHeight="1" x14ac:dyDescent="0.25"/>
    <row r="438" s="23" customFormat="1" ht="15.75" customHeight="1" x14ac:dyDescent="0.25"/>
    <row r="439" s="23" customFormat="1" ht="15.75" customHeight="1" x14ac:dyDescent="0.25"/>
    <row r="440" s="23" customFormat="1" ht="15.75" customHeight="1" x14ac:dyDescent="0.25"/>
    <row r="441" s="23" customFormat="1" ht="15.75" customHeight="1" x14ac:dyDescent="0.25"/>
    <row r="442" s="23" customFormat="1" ht="15.75" customHeight="1" x14ac:dyDescent="0.25"/>
    <row r="443" s="23" customFormat="1" ht="15.75" customHeight="1" x14ac:dyDescent="0.25"/>
    <row r="444" s="23" customFormat="1" ht="15.75" customHeight="1" x14ac:dyDescent="0.25"/>
    <row r="445" s="23" customFormat="1" ht="15.75" customHeight="1" x14ac:dyDescent="0.25"/>
    <row r="446" s="23" customFormat="1" ht="15.75" customHeight="1" x14ac:dyDescent="0.25"/>
    <row r="447" s="23" customFormat="1" ht="15.75" customHeight="1" x14ac:dyDescent="0.25"/>
    <row r="448" s="23" customFormat="1" ht="15.75" customHeight="1" x14ac:dyDescent="0.25"/>
    <row r="449" s="23" customFormat="1" ht="15.75" customHeight="1" x14ac:dyDescent="0.25"/>
    <row r="450" s="23" customFormat="1" ht="15.75" customHeight="1" x14ac:dyDescent="0.25"/>
    <row r="451" s="23" customFormat="1" ht="15.75" customHeight="1" x14ac:dyDescent="0.25"/>
    <row r="452" s="23" customFormat="1" ht="15.75" customHeight="1" x14ac:dyDescent="0.25"/>
    <row r="453" s="23" customFormat="1" ht="15.75" customHeight="1" x14ac:dyDescent="0.25"/>
    <row r="454" s="23" customFormat="1" ht="15.75" customHeight="1" x14ac:dyDescent="0.25"/>
    <row r="455" s="23" customFormat="1" ht="15.75" customHeight="1" x14ac:dyDescent="0.25"/>
    <row r="456" s="23" customFormat="1" ht="15.75" customHeight="1" x14ac:dyDescent="0.25"/>
    <row r="457" s="23" customFormat="1" ht="15.75" customHeight="1" x14ac:dyDescent="0.25"/>
    <row r="458" s="23" customFormat="1" ht="15.75" customHeight="1" x14ac:dyDescent="0.25"/>
    <row r="459" s="23" customFormat="1" ht="15.75" customHeight="1" x14ac:dyDescent="0.25"/>
    <row r="460" s="23" customFormat="1" ht="15.75" customHeight="1" x14ac:dyDescent="0.25"/>
    <row r="461" s="23" customFormat="1" ht="15.75" customHeight="1" x14ac:dyDescent="0.25"/>
    <row r="462" s="23" customFormat="1" ht="15.75" customHeight="1" x14ac:dyDescent="0.25"/>
    <row r="463" s="23" customFormat="1" ht="15.75" customHeight="1" x14ac:dyDescent="0.25"/>
    <row r="464" s="23" customFormat="1" ht="15.75" customHeight="1" x14ac:dyDescent="0.25"/>
    <row r="465" s="23" customFormat="1" ht="15.75" customHeight="1" x14ac:dyDescent="0.25"/>
    <row r="466" s="23" customFormat="1" ht="15.75" customHeight="1" x14ac:dyDescent="0.25"/>
    <row r="467" s="23" customFormat="1" ht="15.75" customHeight="1" x14ac:dyDescent="0.25"/>
    <row r="468" s="23" customFormat="1" ht="15.75" customHeight="1" x14ac:dyDescent="0.25"/>
    <row r="469" s="23" customFormat="1" ht="15.75" customHeight="1" x14ac:dyDescent="0.25"/>
    <row r="470" s="23" customFormat="1" ht="15.75" customHeight="1" x14ac:dyDescent="0.25"/>
    <row r="471" s="23" customFormat="1" ht="15.75" customHeight="1" x14ac:dyDescent="0.25"/>
    <row r="472" s="23" customFormat="1" ht="15.75" customHeight="1" x14ac:dyDescent="0.25"/>
    <row r="473" s="23" customFormat="1" ht="15.75" customHeight="1" x14ac:dyDescent="0.25"/>
    <row r="474" s="23" customFormat="1" ht="15.75" customHeight="1" x14ac:dyDescent="0.25"/>
    <row r="475" s="23" customFormat="1" ht="15.75" customHeight="1" x14ac:dyDescent="0.25"/>
    <row r="476" s="23" customFormat="1" ht="15.75" customHeight="1" x14ac:dyDescent="0.25"/>
    <row r="477" s="23" customFormat="1" ht="15.75" customHeight="1" x14ac:dyDescent="0.25"/>
    <row r="478" s="23" customFormat="1" ht="15.75" customHeight="1" x14ac:dyDescent="0.25"/>
    <row r="479" s="23" customFormat="1" ht="15.75" customHeight="1" x14ac:dyDescent="0.25"/>
    <row r="480" s="23" customFormat="1" ht="15.75" customHeight="1" x14ac:dyDescent="0.25"/>
    <row r="481" s="23" customFormat="1" ht="15.75" customHeight="1" x14ac:dyDescent="0.25"/>
    <row r="482" s="23" customFormat="1" ht="15.75" customHeight="1" x14ac:dyDescent="0.25"/>
    <row r="483" s="23" customFormat="1" ht="15.75" customHeight="1" x14ac:dyDescent="0.25"/>
    <row r="484" s="23" customFormat="1" ht="15.75" customHeight="1" x14ac:dyDescent="0.25"/>
    <row r="485" s="23" customFormat="1" ht="15.75" customHeight="1" x14ac:dyDescent="0.25"/>
    <row r="486" s="23" customFormat="1" ht="15.75" customHeight="1" x14ac:dyDescent="0.25"/>
    <row r="487" s="23" customFormat="1" ht="15.75" customHeight="1" x14ac:dyDescent="0.25"/>
    <row r="488" s="23" customFormat="1" ht="15.75" customHeight="1" x14ac:dyDescent="0.25"/>
    <row r="489" s="23" customFormat="1" ht="15.75" customHeight="1" x14ac:dyDescent="0.25"/>
    <row r="490" s="23" customFormat="1" ht="15.75" customHeight="1" x14ac:dyDescent="0.25"/>
    <row r="491" s="23" customFormat="1" ht="15.75" customHeight="1" x14ac:dyDescent="0.25"/>
    <row r="492" s="23" customFormat="1" ht="15.75" customHeight="1" x14ac:dyDescent="0.25"/>
    <row r="493" s="23" customFormat="1" ht="15.75" customHeight="1" x14ac:dyDescent="0.25"/>
    <row r="494" s="23" customFormat="1" ht="15.75" customHeight="1" x14ac:dyDescent="0.25"/>
    <row r="495" s="23" customFormat="1" ht="15.75" customHeight="1" x14ac:dyDescent="0.25"/>
    <row r="496" s="23" customFormat="1" ht="15.75" customHeight="1" x14ac:dyDescent="0.25"/>
    <row r="497" s="23" customFormat="1" ht="15.75" customHeight="1" x14ac:dyDescent="0.25"/>
    <row r="498" s="23" customFormat="1" ht="15.75" customHeight="1" x14ac:dyDescent="0.25"/>
    <row r="499" s="23" customFormat="1" ht="15.75" customHeight="1" x14ac:dyDescent="0.25"/>
    <row r="500" s="23" customFormat="1" ht="15.75" customHeight="1" x14ac:dyDescent="0.25"/>
    <row r="501" s="23" customFormat="1" ht="15.75" customHeight="1" x14ac:dyDescent="0.25"/>
    <row r="502" s="23" customFormat="1" ht="15.75" customHeight="1" x14ac:dyDescent="0.25"/>
    <row r="503" s="23" customFormat="1" ht="15.75" customHeight="1" x14ac:dyDescent="0.25"/>
    <row r="504" s="23" customFormat="1" ht="15.75" customHeight="1" x14ac:dyDescent="0.25"/>
    <row r="505" s="23" customFormat="1" ht="15.75" customHeight="1" x14ac:dyDescent="0.25"/>
    <row r="506" s="23" customFormat="1" ht="15.75" customHeight="1" x14ac:dyDescent="0.25"/>
    <row r="507" s="23" customFormat="1" ht="15.75" customHeight="1" x14ac:dyDescent="0.25"/>
    <row r="508" s="23" customFormat="1" ht="15.75" customHeight="1" x14ac:dyDescent="0.25"/>
    <row r="509" s="23" customFormat="1" ht="15.75" customHeight="1" x14ac:dyDescent="0.25"/>
    <row r="510" s="23" customFormat="1" ht="15.75" customHeight="1" x14ac:dyDescent="0.25"/>
    <row r="511" s="23" customFormat="1" ht="15.75" customHeight="1" x14ac:dyDescent="0.25"/>
    <row r="512" s="23" customFormat="1" ht="15.75" customHeight="1" x14ac:dyDescent="0.25"/>
    <row r="513" s="23" customFormat="1" ht="15.75" customHeight="1" x14ac:dyDescent="0.25"/>
    <row r="514" s="23" customFormat="1" ht="15.75" customHeight="1" x14ac:dyDescent="0.25"/>
    <row r="515" s="23" customFormat="1" ht="15.75" customHeight="1" x14ac:dyDescent="0.25"/>
    <row r="516" s="23" customFormat="1" ht="15.75" customHeight="1" x14ac:dyDescent="0.25"/>
    <row r="517" s="23" customFormat="1" ht="15.75" customHeight="1" x14ac:dyDescent="0.25"/>
    <row r="518" s="23" customFormat="1" ht="15.75" customHeight="1" x14ac:dyDescent="0.25"/>
    <row r="519" s="23" customFormat="1" ht="15.75" customHeight="1" x14ac:dyDescent="0.25"/>
    <row r="520" s="23" customFormat="1" ht="15.75" customHeight="1" x14ac:dyDescent="0.25"/>
    <row r="521" s="23" customFormat="1" ht="15.75" customHeight="1" x14ac:dyDescent="0.25"/>
    <row r="522" s="23" customFormat="1" ht="15.75" customHeight="1" x14ac:dyDescent="0.25"/>
    <row r="523" s="23" customFormat="1" ht="15.75" customHeight="1" x14ac:dyDescent="0.25"/>
    <row r="524" s="23" customFormat="1" ht="15.75" customHeight="1" x14ac:dyDescent="0.25"/>
    <row r="525" s="23" customFormat="1" ht="15.75" customHeight="1" x14ac:dyDescent="0.25"/>
    <row r="526" s="23" customFormat="1" ht="15.75" customHeight="1" x14ac:dyDescent="0.25"/>
    <row r="527" s="23" customFormat="1" ht="15.75" customHeight="1" x14ac:dyDescent="0.25"/>
    <row r="528" s="23" customFormat="1" ht="15.75" customHeight="1" x14ac:dyDescent="0.25"/>
    <row r="529" s="23" customFormat="1" ht="15.75" customHeight="1" x14ac:dyDescent="0.25"/>
    <row r="530" s="23" customFormat="1" ht="15.75" customHeight="1" x14ac:dyDescent="0.25"/>
    <row r="531" s="23" customFormat="1" ht="15.75" customHeight="1" x14ac:dyDescent="0.25"/>
    <row r="532" s="23" customFormat="1" ht="15.75" customHeight="1" x14ac:dyDescent="0.25"/>
    <row r="533" s="23" customFormat="1" ht="15.75" customHeight="1" x14ac:dyDescent="0.25"/>
    <row r="534" s="23" customFormat="1" ht="15.75" customHeight="1" x14ac:dyDescent="0.25"/>
    <row r="535" s="23" customFormat="1" ht="15.75" customHeight="1" x14ac:dyDescent="0.25"/>
    <row r="536" s="23" customFormat="1" ht="15.75" customHeight="1" x14ac:dyDescent="0.25"/>
    <row r="537" s="23" customFormat="1" ht="15.75" customHeight="1" x14ac:dyDescent="0.25"/>
    <row r="538" s="23" customFormat="1" ht="15.75" customHeight="1" x14ac:dyDescent="0.25"/>
    <row r="539" s="23" customFormat="1" ht="15.75" customHeight="1" x14ac:dyDescent="0.25"/>
    <row r="540" s="23" customFormat="1" ht="15.75" customHeight="1" x14ac:dyDescent="0.25"/>
    <row r="541" s="23" customFormat="1" ht="15.75" customHeight="1" x14ac:dyDescent="0.25"/>
    <row r="542" s="23" customFormat="1" ht="15.75" customHeight="1" x14ac:dyDescent="0.25"/>
    <row r="543" s="23" customFormat="1" ht="15.75" customHeight="1" x14ac:dyDescent="0.25"/>
    <row r="544" s="23" customFormat="1" ht="15.75" customHeight="1" x14ac:dyDescent="0.25"/>
    <row r="545" s="23" customFormat="1" ht="15.75" customHeight="1" x14ac:dyDescent="0.25"/>
    <row r="546" s="23" customFormat="1" ht="15.75" customHeight="1" x14ac:dyDescent="0.25"/>
    <row r="547" s="23" customFormat="1" ht="15.75" customHeight="1" x14ac:dyDescent="0.25"/>
    <row r="548" s="23" customFormat="1" ht="15.75" customHeight="1" x14ac:dyDescent="0.25"/>
    <row r="549" s="23" customFormat="1" ht="15.75" customHeight="1" x14ac:dyDescent="0.25"/>
    <row r="550" s="23" customFormat="1" ht="15.75" customHeight="1" x14ac:dyDescent="0.25"/>
    <row r="551" s="23" customFormat="1" ht="15.75" customHeight="1" x14ac:dyDescent="0.25"/>
    <row r="552" s="23" customFormat="1" ht="15.75" customHeight="1" x14ac:dyDescent="0.25"/>
    <row r="553" s="23" customFormat="1" ht="15.75" customHeight="1" x14ac:dyDescent="0.25"/>
    <row r="554" s="23" customFormat="1" ht="15.75" customHeight="1" x14ac:dyDescent="0.25"/>
    <row r="555" s="23" customFormat="1" ht="15.75" customHeight="1" x14ac:dyDescent="0.25"/>
    <row r="556" s="23" customFormat="1" ht="15.75" customHeight="1" x14ac:dyDescent="0.25"/>
    <row r="557" s="23" customFormat="1" ht="15.75" customHeight="1" x14ac:dyDescent="0.25"/>
    <row r="558" s="23" customFormat="1" ht="15.75" customHeight="1" x14ac:dyDescent="0.25"/>
    <row r="559" s="23" customFormat="1" ht="15.75" customHeight="1" x14ac:dyDescent="0.25"/>
    <row r="560" s="23" customFormat="1" ht="15.75" customHeight="1" x14ac:dyDescent="0.25"/>
    <row r="561" s="23" customFormat="1" ht="15.75" customHeight="1" x14ac:dyDescent="0.25"/>
    <row r="562" s="23" customFormat="1" ht="15.75" customHeight="1" x14ac:dyDescent="0.25"/>
    <row r="563" s="23" customFormat="1" ht="15.75" customHeight="1" x14ac:dyDescent="0.25"/>
    <row r="564" s="23" customFormat="1" ht="15.75" customHeight="1" x14ac:dyDescent="0.25"/>
    <row r="565" s="23" customFormat="1" ht="15.75" customHeight="1" x14ac:dyDescent="0.25"/>
    <row r="566" s="23" customFormat="1" ht="15.75" customHeight="1" x14ac:dyDescent="0.25"/>
    <row r="567" s="23" customFormat="1" ht="15.75" customHeight="1" x14ac:dyDescent="0.25"/>
    <row r="568" s="23" customFormat="1" ht="15.75" customHeight="1" x14ac:dyDescent="0.25"/>
    <row r="569" s="23" customFormat="1" ht="15.75" customHeight="1" x14ac:dyDescent="0.25"/>
    <row r="570" s="23" customFormat="1" ht="15.75" customHeight="1" x14ac:dyDescent="0.25"/>
    <row r="571" s="23" customFormat="1" ht="15.75" customHeight="1" x14ac:dyDescent="0.25"/>
    <row r="572" s="23" customFormat="1" ht="15.75" customHeight="1" x14ac:dyDescent="0.25"/>
    <row r="573" s="23" customFormat="1" ht="15.75" customHeight="1" x14ac:dyDescent="0.25"/>
    <row r="574" s="23" customFormat="1" ht="15.75" customHeight="1" x14ac:dyDescent="0.25"/>
    <row r="575" s="23" customFormat="1" ht="15.75" customHeight="1" x14ac:dyDescent="0.25"/>
    <row r="576" s="23" customFormat="1" ht="15.75" customHeight="1" x14ac:dyDescent="0.25"/>
    <row r="577" s="23" customFormat="1" ht="15.75" customHeight="1" x14ac:dyDescent="0.25"/>
    <row r="578" s="23" customFormat="1" ht="15.75" customHeight="1" x14ac:dyDescent="0.25"/>
    <row r="579" s="23" customFormat="1" ht="15.75" customHeight="1" x14ac:dyDescent="0.25"/>
    <row r="580" s="23" customFormat="1" ht="15.75" customHeight="1" x14ac:dyDescent="0.25"/>
    <row r="581" s="23" customFormat="1" ht="15.75" customHeight="1" x14ac:dyDescent="0.25"/>
    <row r="582" s="23" customFormat="1" ht="15.75" customHeight="1" x14ac:dyDescent="0.25"/>
    <row r="583" s="23" customFormat="1" ht="15.75" customHeight="1" x14ac:dyDescent="0.25"/>
    <row r="584" s="23" customFormat="1" ht="15.75" customHeight="1" x14ac:dyDescent="0.25"/>
    <row r="585" s="23" customFormat="1" ht="15.75" customHeight="1" x14ac:dyDescent="0.25"/>
    <row r="586" s="23" customFormat="1" ht="15.75" customHeight="1" x14ac:dyDescent="0.25"/>
    <row r="587" s="23" customFormat="1" ht="15.75" customHeight="1" x14ac:dyDescent="0.25"/>
    <row r="588" s="23" customFormat="1" ht="15.75" customHeight="1" x14ac:dyDescent="0.25"/>
    <row r="589" s="23" customFormat="1" ht="15.75" customHeight="1" x14ac:dyDescent="0.25"/>
    <row r="590" s="23" customFormat="1" ht="15.75" customHeight="1" x14ac:dyDescent="0.25"/>
    <row r="591" s="23" customFormat="1" ht="15.75" customHeight="1" x14ac:dyDescent="0.25"/>
    <row r="592" s="23" customFormat="1" ht="15.75" customHeight="1" x14ac:dyDescent="0.25"/>
    <row r="593" s="23" customFormat="1" ht="15.75" customHeight="1" x14ac:dyDescent="0.25"/>
    <row r="594" s="23" customFormat="1" ht="15.75" customHeight="1" x14ac:dyDescent="0.25"/>
    <row r="595" s="23" customFormat="1" ht="15.75" customHeight="1" x14ac:dyDescent="0.25"/>
    <row r="596" s="23" customFormat="1" ht="15.75" customHeight="1" x14ac:dyDescent="0.25"/>
    <row r="597" s="23" customFormat="1" ht="15.75" customHeight="1" x14ac:dyDescent="0.25"/>
    <row r="598" s="23" customFormat="1" ht="15.75" customHeight="1" x14ac:dyDescent="0.25"/>
    <row r="599" s="23" customFormat="1" ht="15.75" customHeight="1" x14ac:dyDescent="0.25"/>
    <row r="600" s="23" customFormat="1" ht="15.75" customHeight="1" x14ac:dyDescent="0.25"/>
    <row r="601" s="23" customFormat="1" ht="15.75" customHeight="1" x14ac:dyDescent="0.25"/>
    <row r="602" s="23" customFormat="1" ht="15.75" customHeight="1" x14ac:dyDescent="0.25"/>
    <row r="603" s="23" customFormat="1" ht="15.75" customHeight="1" x14ac:dyDescent="0.25"/>
    <row r="604" s="23" customFormat="1" ht="15.75" customHeight="1" x14ac:dyDescent="0.25"/>
    <row r="605" s="23" customFormat="1" ht="15.75" customHeight="1" x14ac:dyDescent="0.25"/>
    <row r="606" s="23" customFormat="1" ht="15.75" customHeight="1" x14ac:dyDescent="0.25"/>
    <row r="607" s="23" customFormat="1" ht="15.75" customHeight="1" x14ac:dyDescent="0.25"/>
    <row r="608" s="23" customFormat="1" ht="15.75" customHeight="1" x14ac:dyDescent="0.25"/>
    <row r="609" s="23" customFormat="1" ht="15.75" customHeight="1" x14ac:dyDescent="0.25"/>
    <row r="610" s="23" customFormat="1" ht="15.75" customHeight="1" x14ac:dyDescent="0.25"/>
    <row r="611" s="23" customFormat="1" ht="15.75" customHeight="1" x14ac:dyDescent="0.25"/>
    <row r="612" s="23" customFormat="1" ht="15.75" customHeight="1" x14ac:dyDescent="0.25"/>
    <row r="613" s="23" customFormat="1" ht="15.75" customHeight="1" x14ac:dyDescent="0.25"/>
    <row r="614" s="23" customFormat="1" ht="15.75" customHeight="1" x14ac:dyDescent="0.25"/>
    <row r="615" s="23" customFormat="1" ht="15.75" customHeight="1" x14ac:dyDescent="0.25"/>
    <row r="616" s="23" customFormat="1" ht="15.75" customHeight="1" x14ac:dyDescent="0.25"/>
    <row r="617" s="23" customFormat="1" ht="15.75" customHeight="1" x14ac:dyDescent="0.25"/>
    <row r="618" s="23" customFormat="1" ht="15.75" customHeight="1" x14ac:dyDescent="0.25"/>
    <row r="619" s="23" customFormat="1" ht="15.75" customHeight="1" x14ac:dyDescent="0.25"/>
    <row r="620" s="23" customFormat="1" ht="15.75" customHeight="1" x14ac:dyDescent="0.25"/>
    <row r="621" s="23" customFormat="1" ht="15.75" customHeight="1" x14ac:dyDescent="0.25"/>
    <row r="622" s="23" customFormat="1" ht="15.75" customHeight="1" x14ac:dyDescent="0.25"/>
    <row r="623" s="23" customFormat="1" ht="15.75" customHeight="1" x14ac:dyDescent="0.25"/>
    <row r="624" s="23" customFormat="1" ht="15.75" customHeight="1" x14ac:dyDescent="0.25"/>
    <row r="625" s="23" customFormat="1" ht="15.75" customHeight="1" x14ac:dyDescent="0.25"/>
    <row r="626" s="23" customFormat="1" ht="15.75" customHeight="1" x14ac:dyDescent="0.25"/>
    <row r="627" s="23" customFormat="1" ht="15.75" customHeight="1" x14ac:dyDescent="0.25"/>
    <row r="628" s="23" customFormat="1" ht="15.75" customHeight="1" x14ac:dyDescent="0.25"/>
    <row r="629" s="23" customFormat="1" ht="15.75" customHeight="1" x14ac:dyDescent="0.25"/>
    <row r="630" s="23" customFormat="1" ht="15.75" customHeight="1" x14ac:dyDescent="0.25"/>
    <row r="631" s="23" customFormat="1" ht="15.75" customHeight="1" x14ac:dyDescent="0.25"/>
    <row r="632" s="23" customFormat="1" ht="15.75" customHeight="1" x14ac:dyDescent="0.25"/>
    <row r="633" s="23" customFormat="1" ht="15.75" customHeight="1" x14ac:dyDescent="0.25"/>
    <row r="634" s="23" customFormat="1" ht="15.75" customHeight="1" x14ac:dyDescent="0.25"/>
    <row r="635" s="23" customFormat="1" ht="15.75" customHeight="1" x14ac:dyDescent="0.25"/>
    <row r="636" s="23" customFormat="1" ht="15.75" customHeight="1" x14ac:dyDescent="0.25"/>
    <row r="637" s="23" customFormat="1" ht="15.75" customHeight="1" x14ac:dyDescent="0.25"/>
    <row r="638" s="23" customFormat="1" ht="15.75" customHeight="1" x14ac:dyDescent="0.25"/>
    <row r="639" s="23" customFormat="1" ht="15.75" customHeight="1" x14ac:dyDescent="0.25"/>
    <row r="640" s="23" customFormat="1" ht="15.75" customHeight="1" x14ac:dyDescent="0.25"/>
    <row r="641" s="23" customFormat="1" ht="15.75" customHeight="1" x14ac:dyDescent="0.25"/>
    <row r="642" s="23" customFormat="1" ht="15.75" customHeight="1" x14ac:dyDescent="0.25"/>
    <row r="643" s="23" customFormat="1" ht="15.75" customHeight="1" x14ac:dyDescent="0.25"/>
    <row r="644" s="23" customFormat="1" ht="15.75" customHeight="1" x14ac:dyDescent="0.25"/>
    <row r="645" s="23" customFormat="1" ht="15.75" customHeight="1" x14ac:dyDescent="0.25"/>
    <row r="646" s="23" customFormat="1" ht="15.75" customHeight="1" x14ac:dyDescent="0.25"/>
    <row r="647" s="23" customFormat="1" ht="15.75" customHeight="1" x14ac:dyDescent="0.25"/>
    <row r="648" s="23" customFormat="1" ht="15.75" customHeight="1" x14ac:dyDescent="0.25"/>
    <row r="649" s="23" customFormat="1" ht="15.75" customHeight="1" x14ac:dyDescent="0.25"/>
    <row r="650" s="23" customFormat="1" ht="15.75" customHeight="1" x14ac:dyDescent="0.25"/>
    <row r="651" s="23" customFormat="1" ht="15.75" customHeight="1" x14ac:dyDescent="0.25"/>
    <row r="652" s="23" customFormat="1" ht="15.75" customHeight="1" x14ac:dyDescent="0.25"/>
    <row r="653" s="23" customFormat="1" ht="15.75" customHeight="1" x14ac:dyDescent="0.25"/>
    <row r="654" s="23" customFormat="1" ht="15.75" customHeight="1" x14ac:dyDescent="0.25"/>
    <row r="655" s="23" customFormat="1" ht="15.75" customHeight="1" x14ac:dyDescent="0.25"/>
    <row r="656" s="23" customFormat="1" ht="15.75" customHeight="1" x14ac:dyDescent="0.25"/>
    <row r="657" s="23" customFormat="1" ht="15.75" customHeight="1" x14ac:dyDescent="0.25"/>
    <row r="658" s="23" customFormat="1" ht="15.75" customHeight="1" x14ac:dyDescent="0.25"/>
    <row r="659" s="23" customFormat="1" ht="15.75" customHeight="1" x14ac:dyDescent="0.25"/>
    <row r="660" s="23" customFormat="1" ht="15.75" customHeight="1" x14ac:dyDescent="0.25"/>
    <row r="661" s="23" customFormat="1" ht="15.75" customHeight="1" x14ac:dyDescent="0.25"/>
    <row r="662" s="23" customFormat="1" ht="15.75" customHeight="1" x14ac:dyDescent="0.25"/>
    <row r="663" s="23" customFormat="1" ht="15.75" customHeight="1" x14ac:dyDescent="0.25"/>
    <row r="664" s="23" customFormat="1" ht="15.75" customHeight="1" x14ac:dyDescent="0.25"/>
    <row r="665" s="23" customFormat="1" ht="15.75" customHeight="1" x14ac:dyDescent="0.25"/>
    <row r="666" s="23" customFormat="1" ht="15.75" customHeight="1" x14ac:dyDescent="0.25"/>
    <row r="667" s="23" customFormat="1" ht="15.75" customHeight="1" x14ac:dyDescent="0.25"/>
    <row r="668" s="23" customFormat="1" ht="15.75" customHeight="1" x14ac:dyDescent="0.25"/>
    <row r="669" s="23" customFormat="1" ht="15.75" customHeight="1" x14ac:dyDescent="0.25"/>
    <row r="670" s="23" customFormat="1" ht="15.75" customHeight="1" x14ac:dyDescent="0.25"/>
    <row r="671" s="23" customFormat="1" ht="15.75" customHeight="1" x14ac:dyDescent="0.25"/>
    <row r="672" s="23" customFormat="1" ht="15.75" customHeight="1" x14ac:dyDescent="0.25"/>
    <row r="673" s="23" customFormat="1" ht="15.75" customHeight="1" x14ac:dyDescent="0.25"/>
    <row r="674" s="23" customFormat="1" ht="15.75" customHeight="1" x14ac:dyDescent="0.25"/>
    <row r="675" s="23" customFormat="1" ht="15.75" customHeight="1" x14ac:dyDescent="0.25"/>
    <row r="676" s="23" customFormat="1" ht="15.75" customHeight="1" x14ac:dyDescent="0.25"/>
    <row r="677" s="23" customFormat="1" ht="15.75" customHeight="1" x14ac:dyDescent="0.25"/>
    <row r="678" s="23" customFormat="1" ht="15.75" customHeight="1" x14ac:dyDescent="0.25"/>
    <row r="679" s="23" customFormat="1" ht="15.75" customHeight="1" x14ac:dyDescent="0.25"/>
    <row r="680" s="23" customFormat="1" ht="15.75" customHeight="1" x14ac:dyDescent="0.25"/>
    <row r="681" s="23" customFormat="1" ht="15.75" customHeight="1" x14ac:dyDescent="0.25"/>
    <row r="682" s="23" customFormat="1" ht="15.75" customHeight="1" x14ac:dyDescent="0.25"/>
    <row r="683" s="23" customFormat="1" ht="15.75" customHeight="1" x14ac:dyDescent="0.25"/>
    <row r="684" s="23" customFormat="1" ht="15.75" customHeight="1" x14ac:dyDescent="0.25"/>
    <row r="685" s="23" customFormat="1" ht="15.75" customHeight="1" x14ac:dyDescent="0.25"/>
    <row r="686" s="23" customFormat="1" ht="15.75" customHeight="1" x14ac:dyDescent="0.25"/>
    <row r="687" s="23" customFormat="1" ht="15.75" customHeight="1" x14ac:dyDescent="0.25"/>
    <row r="688" s="23" customFormat="1" ht="15.75" customHeight="1" x14ac:dyDescent="0.25"/>
    <row r="689" s="23" customFormat="1" ht="15.75" customHeight="1" x14ac:dyDescent="0.25"/>
    <row r="690" s="23" customFormat="1" ht="15.75" customHeight="1" x14ac:dyDescent="0.25"/>
    <row r="691" s="23" customFormat="1" ht="15.75" customHeight="1" x14ac:dyDescent="0.25"/>
    <row r="692" s="23" customFormat="1" ht="15.75" customHeight="1" x14ac:dyDescent="0.25"/>
    <row r="693" s="23" customFormat="1" ht="15.75" customHeight="1" x14ac:dyDescent="0.25"/>
    <row r="694" s="23" customFormat="1" ht="15.75" customHeight="1" x14ac:dyDescent="0.25"/>
    <row r="695" s="23" customFormat="1" ht="15.75" customHeight="1" x14ac:dyDescent="0.25"/>
    <row r="696" s="23" customFormat="1" ht="15.75" customHeight="1" x14ac:dyDescent="0.25"/>
    <row r="697" s="23" customFormat="1" ht="15.75" customHeight="1" x14ac:dyDescent="0.25"/>
    <row r="698" s="23" customFormat="1" ht="15.75" customHeight="1" x14ac:dyDescent="0.25"/>
    <row r="699" s="23" customFormat="1" ht="15.75" customHeight="1" x14ac:dyDescent="0.25"/>
    <row r="700" s="23" customFormat="1" ht="15.75" customHeight="1" x14ac:dyDescent="0.25"/>
    <row r="701" s="23" customFormat="1" ht="15.75" customHeight="1" x14ac:dyDescent="0.25"/>
    <row r="702" s="23" customFormat="1" ht="15.75" customHeight="1" x14ac:dyDescent="0.25"/>
    <row r="703" s="23" customFormat="1" ht="15.75" customHeight="1" x14ac:dyDescent="0.25"/>
    <row r="704" s="23" customFormat="1" ht="15.75" customHeight="1" x14ac:dyDescent="0.25"/>
    <row r="705" s="23" customFormat="1" ht="15.75" customHeight="1" x14ac:dyDescent="0.25"/>
    <row r="706" s="23" customFormat="1" ht="15.75" customHeight="1" x14ac:dyDescent="0.25"/>
    <row r="707" s="23" customFormat="1" ht="15.75" customHeight="1" x14ac:dyDescent="0.25"/>
    <row r="708" s="23" customFormat="1" ht="15.75" customHeight="1" x14ac:dyDescent="0.25"/>
    <row r="709" s="23" customFormat="1" ht="15.75" customHeight="1" x14ac:dyDescent="0.25"/>
    <row r="710" s="23" customFormat="1" ht="15.75" customHeight="1" x14ac:dyDescent="0.25"/>
    <row r="711" s="23" customFormat="1" ht="15.75" customHeight="1" x14ac:dyDescent="0.25"/>
    <row r="712" s="23" customFormat="1" ht="15.75" customHeight="1" x14ac:dyDescent="0.25"/>
    <row r="713" s="23" customFormat="1" ht="15.75" customHeight="1" x14ac:dyDescent="0.25"/>
    <row r="714" s="23" customFormat="1" ht="15.75" customHeight="1" x14ac:dyDescent="0.25"/>
    <row r="715" s="23" customFormat="1" ht="15.75" customHeight="1" x14ac:dyDescent="0.25"/>
    <row r="716" s="23" customFormat="1" ht="15.75" customHeight="1" x14ac:dyDescent="0.25"/>
    <row r="717" s="23" customFormat="1" ht="15.75" customHeight="1" x14ac:dyDescent="0.25"/>
    <row r="718" s="23" customFormat="1" ht="15.75" customHeight="1" x14ac:dyDescent="0.25"/>
    <row r="719" s="23" customFormat="1" ht="15.75" customHeight="1" x14ac:dyDescent="0.25"/>
    <row r="720" s="23" customFormat="1" ht="15.75" customHeight="1" x14ac:dyDescent="0.25"/>
    <row r="721" s="23" customFormat="1" ht="15.75" customHeight="1" x14ac:dyDescent="0.25"/>
    <row r="722" s="23" customFormat="1" ht="15.75" customHeight="1" x14ac:dyDescent="0.25"/>
    <row r="723" s="23" customFormat="1" ht="15.75" customHeight="1" x14ac:dyDescent="0.25"/>
    <row r="724" s="23" customFormat="1" ht="15.75" customHeight="1" x14ac:dyDescent="0.25"/>
    <row r="725" s="23" customFormat="1" ht="15.75" customHeight="1" x14ac:dyDescent="0.25"/>
    <row r="726" s="23" customFormat="1" ht="15.75" customHeight="1" x14ac:dyDescent="0.25"/>
    <row r="727" s="23" customFormat="1" ht="15.75" customHeight="1" x14ac:dyDescent="0.25"/>
    <row r="728" s="23" customFormat="1" ht="15.75" customHeight="1" x14ac:dyDescent="0.25"/>
    <row r="729" s="23" customFormat="1" ht="15.75" customHeight="1" x14ac:dyDescent="0.25"/>
    <row r="730" s="23" customFormat="1" ht="15.75" customHeight="1" x14ac:dyDescent="0.25"/>
    <row r="731" s="23" customFormat="1" ht="15.75" customHeight="1" x14ac:dyDescent="0.25"/>
    <row r="732" s="23" customFormat="1" ht="15.75" customHeight="1" x14ac:dyDescent="0.25"/>
    <row r="733" s="23" customFormat="1" ht="15.75" customHeight="1" x14ac:dyDescent="0.25"/>
    <row r="734" s="23" customFormat="1" ht="15.75" customHeight="1" x14ac:dyDescent="0.25"/>
    <row r="735" s="23" customFormat="1" ht="15.75" customHeight="1" x14ac:dyDescent="0.25"/>
    <row r="736" s="23" customFormat="1" ht="15.75" customHeight="1" x14ac:dyDescent="0.25"/>
    <row r="737" s="23" customFormat="1" ht="15.75" customHeight="1" x14ac:dyDescent="0.25"/>
    <row r="738" s="23" customFormat="1" ht="15.75" customHeight="1" x14ac:dyDescent="0.25"/>
    <row r="739" s="23" customFormat="1" ht="15.75" customHeight="1" x14ac:dyDescent="0.25"/>
    <row r="740" s="23" customFormat="1" ht="15.75" customHeight="1" x14ac:dyDescent="0.25"/>
    <row r="741" s="23" customFormat="1" ht="15.75" customHeight="1" x14ac:dyDescent="0.25"/>
    <row r="742" s="23" customFormat="1" ht="15.75" customHeight="1" x14ac:dyDescent="0.25"/>
    <row r="743" s="23" customFormat="1" ht="15.75" customHeight="1" x14ac:dyDescent="0.25"/>
    <row r="744" s="23" customFormat="1" ht="15.75" customHeight="1" x14ac:dyDescent="0.25"/>
    <row r="745" s="23" customFormat="1" ht="15.75" customHeight="1" x14ac:dyDescent="0.25"/>
    <row r="746" s="23" customFormat="1" ht="15.75" customHeight="1" x14ac:dyDescent="0.25"/>
    <row r="747" s="23" customFormat="1" ht="15.75" customHeight="1" x14ac:dyDescent="0.25"/>
    <row r="748" s="23" customFormat="1" ht="15.75" customHeight="1" x14ac:dyDescent="0.25"/>
    <row r="749" s="23" customFormat="1" ht="15.75" customHeight="1" x14ac:dyDescent="0.25"/>
    <row r="750" s="23" customFormat="1" ht="15.75" customHeight="1" x14ac:dyDescent="0.25"/>
    <row r="751" s="23" customFormat="1" ht="15.75" customHeight="1" x14ac:dyDescent="0.25"/>
    <row r="752" s="23" customFormat="1" ht="15.75" customHeight="1" x14ac:dyDescent="0.25"/>
    <row r="753" s="23" customFormat="1" ht="15.75" customHeight="1" x14ac:dyDescent="0.25"/>
    <row r="754" s="23" customFormat="1" ht="15.75" customHeight="1" x14ac:dyDescent="0.25"/>
    <row r="755" s="23" customFormat="1" ht="15.75" customHeight="1" x14ac:dyDescent="0.25"/>
    <row r="756" s="23" customFormat="1" ht="15.75" customHeight="1" x14ac:dyDescent="0.25"/>
    <row r="757" s="23" customFormat="1" ht="15.75" customHeight="1" x14ac:dyDescent="0.25"/>
    <row r="758" s="23" customFormat="1" ht="15.75" customHeight="1" x14ac:dyDescent="0.25"/>
    <row r="759" s="23" customFormat="1" ht="15.75" customHeight="1" x14ac:dyDescent="0.25"/>
    <row r="760" s="23" customFormat="1" ht="15.75" customHeight="1" x14ac:dyDescent="0.25"/>
    <row r="761" s="23" customFormat="1" ht="15.75" customHeight="1" x14ac:dyDescent="0.25"/>
    <row r="762" s="23" customFormat="1" ht="15.75" customHeight="1" x14ac:dyDescent="0.25"/>
    <row r="763" s="23" customFormat="1" ht="15.75" customHeight="1" x14ac:dyDescent="0.25"/>
    <row r="764" s="23" customFormat="1" ht="15.75" customHeight="1" x14ac:dyDescent="0.25"/>
    <row r="765" s="23" customFormat="1" ht="15.75" customHeight="1" x14ac:dyDescent="0.25"/>
    <row r="766" s="23" customFormat="1" ht="15.75" customHeight="1" x14ac:dyDescent="0.25"/>
    <row r="767" s="23" customFormat="1" ht="15.75" customHeight="1" x14ac:dyDescent="0.25"/>
    <row r="768" s="23" customFormat="1" ht="15.75" customHeight="1" x14ac:dyDescent="0.25"/>
    <row r="769" s="23" customFormat="1" ht="15.75" customHeight="1" x14ac:dyDescent="0.25"/>
    <row r="770" s="23" customFormat="1" ht="15.75" customHeight="1" x14ac:dyDescent="0.25"/>
    <row r="771" s="23" customFormat="1" ht="15.75" customHeight="1" x14ac:dyDescent="0.25"/>
    <row r="772" s="23" customFormat="1" ht="15.75" customHeight="1" x14ac:dyDescent="0.25"/>
    <row r="773" s="23" customFormat="1" ht="15.75" customHeight="1" x14ac:dyDescent="0.25"/>
    <row r="774" s="23" customFormat="1" ht="15.75" customHeight="1" x14ac:dyDescent="0.25"/>
    <row r="775" s="23" customFormat="1" ht="15.75" customHeight="1" x14ac:dyDescent="0.25"/>
    <row r="776" s="23" customFormat="1" ht="15.75" customHeight="1" x14ac:dyDescent="0.25"/>
    <row r="777" s="23" customFormat="1" ht="15.75" customHeight="1" x14ac:dyDescent="0.25"/>
    <row r="778" s="23" customFormat="1" ht="15.75" customHeight="1" x14ac:dyDescent="0.25"/>
    <row r="779" s="23" customFormat="1" ht="15.75" customHeight="1" x14ac:dyDescent="0.25"/>
    <row r="780" s="23" customFormat="1" ht="15.75" customHeight="1" x14ac:dyDescent="0.25"/>
    <row r="781" s="23" customFormat="1" ht="15.75" customHeight="1" x14ac:dyDescent="0.25"/>
    <row r="782" s="23" customFormat="1" ht="15.75" customHeight="1" x14ac:dyDescent="0.25"/>
    <row r="783" s="23" customFormat="1" ht="15.75" customHeight="1" x14ac:dyDescent="0.25"/>
    <row r="784" s="23" customFormat="1" ht="15.75" customHeight="1" x14ac:dyDescent="0.25"/>
    <row r="785" s="23" customFormat="1" ht="15.75" customHeight="1" x14ac:dyDescent="0.25"/>
    <row r="786" s="23" customFormat="1" ht="15.75" customHeight="1" x14ac:dyDescent="0.25"/>
    <row r="787" s="23" customFormat="1" ht="15.75" customHeight="1" x14ac:dyDescent="0.25"/>
    <row r="788" s="23" customFormat="1" ht="15.75" customHeight="1" x14ac:dyDescent="0.25"/>
    <row r="789" s="23" customFormat="1" ht="15.75" customHeight="1" x14ac:dyDescent="0.25"/>
    <row r="790" s="23" customFormat="1" ht="15.75" customHeight="1" x14ac:dyDescent="0.25"/>
    <row r="791" s="23" customFormat="1" ht="15.75" customHeight="1" x14ac:dyDescent="0.25"/>
    <row r="792" s="23" customFormat="1" ht="15.75" customHeight="1" x14ac:dyDescent="0.25"/>
    <row r="793" s="23" customFormat="1" ht="15.75" customHeight="1" x14ac:dyDescent="0.25"/>
    <row r="794" s="23" customFormat="1" ht="15.75" customHeight="1" x14ac:dyDescent="0.25"/>
    <row r="795" s="23" customFormat="1" ht="15.75" customHeight="1" x14ac:dyDescent="0.25"/>
    <row r="796" s="23" customFormat="1" ht="15.75" customHeight="1" x14ac:dyDescent="0.25"/>
    <row r="797" s="23" customFormat="1" ht="15.75" customHeight="1" x14ac:dyDescent="0.25"/>
    <row r="798" s="23" customFormat="1" ht="15.75" customHeight="1" x14ac:dyDescent="0.25"/>
    <row r="799" s="23" customFormat="1" ht="15.75" customHeight="1" x14ac:dyDescent="0.25"/>
    <row r="800" s="23" customFormat="1" ht="15.75" customHeight="1" x14ac:dyDescent="0.25"/>
    <row r="801" s="23" customFormat="1" ht="15.75" customHeight="1" x14ac:dyDescent="0.25"/>
    <row r="802" s="23" customFormat="1" ht="15.75" customHeight="1" x14ac:dyDescent="0.25"/>
    <row r="803" s="23" customFormat="1" ht="15.75" customHeight="1" x14ac:dyDescent="0.25"/>
    <row r="804" s="23" customFormat="1" ht="15.75" customHeight="1" x14ac:dyDescent="0.25"/>
    <row r="805" s="23" customFormat="1" ht="15.75" customHeight="1" x14ac:dyDescent="0.25"/>
    <row r="806" s="23" customFormat="1" ht="15.75" customHeight="1" x14ac:dyDescent="0.25"/>
    <row r="807" s="23" customFormat="1" ht="15.75" customHeight="1" x14ac:dyDescent="0.25"/>
    <row r="808" s="23" customFormat="1" ht="15.75" customHeight="1" x14ac:dyDescent="0.25"/>
    <row r="809" s="23" customFormat="1" ht="15.75" customHeight="1" x14ac:dyDescent="0.25"/>
    <row r="810" s="23" customFormat="1" ht="15.75" customHeight="1" x14ac:dyDescent="0.25"/>
    <row r="811" s="23" customFormat="1" ht="15.75" customHeight="1" x14ac:dyDescent="0.25"/>
    <row r="812" s="23" customFormat="1" ht="15.75" customHeight="1" x14ac:dyDescent="0.25"/>
    <row r="813" s="23" customFormat="1" ht="15.75" customHeight="1" x14ac:dyDescent="0.25"/>
    <row r="814" s="23" customFormat="1" ht="15.75" customHeight="1" x14ac:dyDescent="0.25"/>
    <row r="815" s="23" customFormat="1" ht="15.75" customHeight="1" x14ac:dyDescent="0.25"/>
    <row r="816" s="23" customFormat="1" ht="15.75" customHeight="1" x14ac:dyDescent="0.25"/>
    <row r="817" s="23" customFormat="1" ht="15.75" customHeight="1" x14ac:dyDescent="0.25"/>
    <row r="818" s="23" customFormat="1" ht="15.75" customHeight="1" x14ac:dyDescent="0.25"/>
    <row r="819" s="23" customFormat="1" ht="15.75" customHeight="1" x14ac:dyDescent="0.25"/>
    <row r="820" s="23" customFormat="1" ht="15.75" customHeight="1" x14ac:dyDescent="0.25"/>
    <row r="821" s="23" customFormat="1" ht="15.75" customHeight="1" x14ac:dyDescent="0.25"/>
    <row r="822" s="23" customFormat="1" ht="15.75" customHeight="1" x14ac:dyDescent="0.25"/>
    <row r="823" s="23" customFormat="1" ht="15.75" customHeight="1" x14ac:dyDescent="0.25"/>
    <row r="824" s="23" customFormat="1" ht="15.75" customHeight="1" x14ac:dyDescent="0.25"/>
    <row r="825" s="23" customFormat="1" ht="15.75" customHeight="1" x14ac:dyDescent="0.25"/>
    <row r="826" s="23" customFormat="1" ht="15.75" customHeight="1" x14ac:dyDescent="0.25"/>
    <row r="827" s="23" customFormat="1" ht="15.75" customHeight="1" x14ac:dyDescent="0.25"/>
    <row r="828" s="23" customFormat="1" ht="15.75" customHeight="1" x14ac:dyDescent="0.25"/>
    <row r="829" s="23" customFormat="1" ht="15.75" customHeight="1" x14ac:dyDescent="0.25"/>
    <row r="830" s="23" customFormat="1" ht="15.75" customHeight="1" x14ac:dyDescent="0.25"/>
    <row r="831" s="23" customFormat="1" ht="15.75" customHeight="1" x14ac:dyDescent="0.25"/>
    <row r="832" s="23" customFormat="1" ht="15.75" customHeight="1" x14ac:dyDescent="0.25"/>
    <row r="833" s="23" customFormat="1" ht="15.75" customHeight="1" x14ac:dyDescent="0.25"/>
    <row r="834" s="23" customFormat="1" ht="15.75" customHeight="1" x14ac:dyDescent="0.25"/>
    <row r="835" s="23" customFormat="1" ht="15.75" customHeight="1" x14ac:dyDescent="0.25"/>
    <row r="836" s="23" customFormat="1" ht="15.75" customHeight="1" x14ac:dyDescent="0.25"/>
    <row r="837" s="23" customFormat="1" ht="15.75" customHeight="1" x14ac:dyDescent="0.25"/>
    <row r="838" s="23" customFormat="1" ht="15.75" customHeight="1" x14ac:dyDescent="0.25"/>
    <row r="839" s="23" customFormat="1" ht="15.75" customHeight="1" x14ac:dyDescent="0.25"/>
    <row r="840" s="23" customFormat="1" ht="15.75" customHeight="1" x14ac:dyDescent="0.25"/>
    <row r="841" s="23" customFormat="1" ht="15.75" customHeight="1" x14ac:dyDescent="0.25"/>
    <row r="842" s="23" customFormat="1" ht="15.75" customHeight="1" x14ac:dyDescent="0.25"/>
    <row r="843" s="23" customFormat="1" ht="15.75" customHeight="1" x14ac:dyDescent="0.25"/>
    <row r="844" s="23" customFormat="1" ht="15.75" customHeight="1" x14ac:dyDescent="0.25"/>
    <row r="845" s="23" customFormat="1" ht="15.75" customHeight="1" x14ac:dyDescent="0.25"/>
    <row r="846" s="23" customFormat="1" ht="15.75" customHeight="1" x14ac:dyDescent="0.25"/>
    <row r="847" s="23" customFormat="1" ht="15.75" customHeight="1" x14ac:dyDescent="0.25"/>
    <row r="848" s="23" customFormat="1" ht="15.75" customHeight="1" x14ac:dyDescent="0.25"/>
    <row r="849" s="23" customFormat="1" ht="15.75" customHeight="1" x14ac:dyDescent="0.25"/>
    <row r="850" s="23" customFormat="1" ht="15.75" customHeight="1" x14ac:dyDescent="0.25"/>
    <row r="851" s="23" customFormat="1" ht="15.75" customHeight="1" x14ac:dyDescent="0.25"/>
    <row r="852" s="23" customFormat="1" ht="15.75" customHeight="1" x14ac:dyDescent="0.25"/>
    <row r="853" s="23" customFormat="1" ht="15.75" customHeight="1" x14ac:dyDescent="0.25"/>
    <row r="854" s="23" customFormat="1" ht="15.75" customHeight="1" x14ac:dyDescent="0.25"/>
    <row r="855" s="23" customFormat="1" ht="15.75" customHeight="1" x14ac:dyDescent="0.25"/>
    <row r="856" s="23" customFormat="1" ht="15.75" customHeight="1" x14ac:dyDescent="0.25"/>
    <row r="857" s="23" customFormat="1" ht="15.75" customHeight="1" x14ac:dyDescent="0.25"/>
    <row r="858" s="23" customFormat="1" ht="15.75" customHeight="1" x14ac:dyDescent="0.25"/>
    <row r="859" s="23" customFormat="1" ht="15.75" customHeight="1" x14ac:dyDescent="0.25"/>
    <row r="860" s="23" customFormat="1" ht="15.75" customHeight="1" x14ac:dyDescent="0.25"/>
    <row r="861" s="23" customFormat="1" ht="15.75" customHeight="1" x14ac:dyDescent="0.25"/>
    <row r="862" s="23" customFormat="1" ht="15.75" customHeight="1" x14ac:dyDescent="0.25"/>
    <row r="863" s="23" customFormat="1" ht="15.75" customHeight="1" x14ac:dyDescent="0.25"/>
    <row r="864" s="23" customFormat="1" ht="15.75" customHeight="1" x14ac:dyDescent="0.25"/>
    <row r="865" s="23" customFormat="1" ht="15.75" customHeight="1" x14ac:dyDescent="0.25"/>
    <row r="866" s="23" customFormat="1" ht="15.75" customHeight="1" x14ac:dyDescent="0.25"/>
    <row r="867" s="23" customFormat="1" ht="15.75" customHeight="1" x14ac:dyDescent="0.25"/>
    <row r="868" s="23" customFormat="1" ht="15.75" customHeight="1" x14ac:dyDescent="0.25"/>
    <row r="869" s="23" customFormat="1" ht="15.75" customHeight="1" x14ac:dyDescent="0.25"/>
    <row r="870" s="23" customFormat="1" ht="15.75" customHeight="1" x14ac:dyDescent="0.25"/>
    <row r="871" s="23" customFormat="1" ht="15.75" customHeight="1" x14ac:dyDescent="0.25"/>
    <row r="872" s="23" customFormat="1" ht="15.75" customHeight="1" x14ac:dyDescent="0.25"/>
    <row r="873" s="23" customFormat="1" ht="15.75" customHeight="1" x14ac:dyDescent="0.25"/>
    <row r="874" s="23" customFormat="1" ht="15.75" customHeight="1" x14ac:dyDescent="0.25"/>
    <row r="875" s="23" customFormat="1" ht="15.75" customHeight="1" x14ac:dyDescent="0.25"/>
    <row r="876" s="23" customFormat="1" ht="15.75" customHeight="1" x14ac:dyDescent="0.25"/>
    <row r="877" s="23" customFormat="1" ht="15.75" customHeight="1" x14ac:dyDescent="0.25"/>
    <row r="878" s="23" customFormat="1" ht="15.75" customHeight="1" x14ac:dyDescent="0.25"/>
    <row r="879" s="23" customFormat="1" ht="15.75" customHeight="1" x14ac:dyDescent="0.25"/>
    <row r="880" s="23" customFormat="1" ht="15.75" customHeight="1" x14ac:dyDescent="0.25"/>
    <row r="881" s="23" customFormat="1" ht="15.75" customHeight="1" x14ac:dyDescent="0.25"/>
    <row r="882" s="23" customFormat="1" ht="15.75" customHeight="1" x14ac:dyDescent="0.25"/>
    <row r="883" s="23" customFormat="1" ht="15.75" customHeight="1" x14ac:dyDescent="0.25"/>
    <row r="884" s="23" customFormat="1" ht="15.75" customHeight="1" x14ac:dyDescent="0.25"/>
    <row r="885" s="23" customFormat="1" ht="15.75" customHeight="1" x14ac:dyDescent="0.25"/>
    <row r="886" s="23" customFormat="1" ht="15.75" customHeight="1" x14ac:dyDescent="0.25"/>
    <row r="887" s="23" customFormat="1" ht="15.75" customHeight="1" x14ac:dyDescent="0.25"/>
    <row r="888" s="23" customFormat="1" ht="15.75" customHeight="1" x14ac:dyDescent="0.25"/>
    <row r="889" s="23" customFormat="1" ht="15.75" customHeight="1" x14ac:dyDescent="0.25"/>
    <row r="890" s="23" customFormat="1" ht="15.75" customHeight="1" x14ac:dyDescent="0.25"/>
    <row r="891" s="23" customFormat="1" ht="15.75" customHeight="1" x14ac:dyDescent="0.25"/>
    <row r="892" s="23" customFormat="1" ht="15.75" customHeight="1" x14ac:dyDescent="0.25"/>
    <row r="893" s="23" customFormat="1" ht="15.75" customHeight="1" x14ac:dyDescent="0.25"/>
    <row r="894" s="23" customFormat="1" ht="15.75" customHeight="1" x14ac:dyDescent="0.25"/>
    <row r="895" s="23" customFormat="1" ht="15.75" customHeight="1" x14ac:dyDescent="0.25"/>
    <row r="896" s="23" customFormat="1" ht="15.75" customHeight="1" x14ac:dyDescent="0.25"/>
    <row r="897" s="23" customFormat="1" ht="15.75" customHeight="1" x14ac:dyDescent="0.25"/>
    <row r="898" s="23" customFormat="1" ht="15.75" customHeight="1" x14ac:dyDescent="0.25"/>
    <row r="899" s="23" customFormat="1" ht="15.75" customHeight="1" x14ac:dyDescent="0.25"/>
    <row r="900" s="23" customFormat="1" ht="15.75" customHeight="1" x14ac:dyDescent="0.25"/>
    <row r="901" s="23" customFormat="1" ht="15.75" customHeight="1" x14ac:dyDescent="0.25"/>
    <row r="902" s="23" customFormat="1" ht="15.75" customHeight="1" x14ac:dyDescent="0.25"/>
    <row r="903" s="23" customFormat="1" ht="15.75" customHeight="1" x14ac:dyDescent="0.25"/>
    <row r="904" s="23" customFormat="1" ht="15.75" customHeight="1" x14ac:dyDescent="0.25"/>
    <row r="905" s="23" customFormat="1" ht="15.75" customHeight="1" x14ac:dyDescent="0.25"/>
    <row r="906" s="23" customFormat="1" ht="15.75" customHeight="1" x14ac:dyDescent="0.25"/>
    <row r="907" s="23" customFormat="1" ht="15.75" customHeight="1" x14ac:dyDescent="0.25"/>
    <row r="908" s="23" customFormat="1" ht="15.75" customHeight="1" x14ac:dyDescent="0.25"/>
    <row r="909" s="23" customFormat="1" ht="15.75" customHeight="1" x14ac:dyDescent="0.25"/>
    <row r="910" s="23" customFormat="1" ht="15.75" customHeight="1" x14ac:dyDescent="0.25"/>
    <row r="911" s="23" customFormat="1" ht="15.75" customHeight="1" x14ac:dyDescent="0.25"/>
    <row r="912" s="23" customFormat="1" ht="15.75" customHeight="1" x14ac:dyDescent="0.25"/>
    <row r="913" s="23" customFormat="1" ht="15.75" customHeight="1" x14ac:dyDescent="0.25"/>
    <row r="914" s="23" customFormat="1" ht="15.75" customHeight="1" x14ac:dyDescent="0.25"/>
    <row r="915" s="23" customFormat="1" ht="15.75" customHeight="1" x14ac:dyDescent="0.25"/>
    <row r="916" s="23" customFormat="1" ht="15.75" customHeight="1" x14ac:dyDescent="0.25"/>
    <row r="917" s="23" customFormat="1" ht="15.75" customHeight="1" x14ac:dyDescent="0.25"/>
    <row r="918" s="23" customFormat="1" ht="15.75" customHeight="1" x14ac:dyDescent="0.25"/>
    <row r="919" s="23" customFormat="1" ht="15.75" customHeight="1" x14ac:dyDescent="0.25"/>
    <row r="920" s="23" customFormat="1" ht="15.75" customHeight="1" x14ac:dyDescent="0.25"/>
    <row r="921" s="23" customFormat="1" ht="15.75" customHeight="1" x14ac:dyDescent="0.25"/>
    <row r="922" s="23" customFormat="1" ht="15.75" customHeight="1" x14ac:dyDescent="0.25"/>
    <row r="923" s="23" customFormat="1" ht="15.75" customHeight="1" x14ac:dyDescent="0.25"/>
    <row r="924" s="23" customFormat="1" ht="15.75" customHeight="1" x14ac:dyDescent="0.25"/>
    <row r="925" s="23" customFormat="1" ht="15.75" customHeight="1" x14ac:dyDescent="0.25"/>
    <row r="926" s="23" customFormat="1" ht="15.75" customHeight="1" x14ac:dyDescent="0.25"/>
    <row r="927" s="23" customFormat="1" ht="15.75" customHeight="1" x14ac:dyDescent="0.25"/>
    <row r="928" s="23" customFormat="1" ht="15.75" customHeight="1" x14ac:dyDescent="0.25"/>
    <row r="929" s="23" customFormat="1" ht="15.75" customHeight="1" x14ac:dyDescent="0.25"/>
    <row r="930" s="23" customFormat="1" ht="15.75" customHeight="1" x14ac:dyDescent="0.25"/>
    <row r="931" s="23" customFormat="1" ht="15.75" customHeight="1" x14ac:dyDescent="0.25"/>
    <row r="932" s="23" customFormat="1" ht="15.75" customHeight="1" x14ac:dyDescent="0.25"/>
    <row r="933" s="23" customFormat="1" ht="15.75" customHeight="1" x14ac:dyDescent="0.25"/>
    <row r="934" s="23" customFormat="1" ht="15.75" customHeight="1" x14ac:dyDescent="0.25"/>
    <row r="935" s="23" customFormat="1" ht="15.75" customHeight="1" x14ac:dyDescent="0.25"/>
    <row r="936" s="23" customFormat="1" ht="15.75" customHeight="1" x14ac:dyDescent="0.25"/>
    <row r="937" s="23" customFormat="1" ht="15.75" customHeight="1" x14ac:dyDescent="0.25"/>
    <row r="938" s="23" customFormat="1" ht="15.75" customHeight="1" x14ac:dyDescent="0.25"/>
    <row r="939" s="23" customFormat="1" ht="15.75" customHeight="1" x14ac:dyDescent="0.25"/>
    <row r="940" s="23" customFormat="1" ht="15.75" customHeight="1" x14ac:dyDescent="0.25"/>
    <row r="941" s="23" customFormat="1" ht="15.75" customHeight="1" x14ac:dyDescent="0.25"/>
    <row r="942" s="23" customFormat="1" ht="15.75" customHeight="1" x14ac:dyDescent="0.25"/>
    <row r="943" s="23" customFormat="1" ht="15.75" customHeight="1" x14ac:dyDescent="0.25"/>
    <row r="944" s="23" customFormat="1" ht="15.75" customHeight="1" x14ac:dyDescent="0.25"/>
    <row r="945" s="23" customFormat="1" ht="15.75" customHeight="1" x14ac:dyDescent="0.25"/>
    <row r="946" s="23" customFormat="1" ht="15.75" customHeight="1" x14ac:dyDescent="0.25"/>
    <row r="947" s="23" customFormat="1" ht="15.75" customHeight="1" x14ac:dyDescent="0.25"/>
    <row r="948" s="23" customFormat="1" ht="15.75" customHeight="1" x14ac:dyDescent="0.25"/>
    <row r="949" s="23" customFormat="1" ht="15.75" customHeight="1" x14ac:dyDescent="0.25"/>
    <row r="950" s="23" customFormat="1" ht="15.75" customHeight="1" x14ac:dyDescent="0.25"/>
    <row r="951" s="23" customFormat="1" ht="15.75" customHeight="1" x14ac:dyDescent="0.25"/>
    <row r="952" s="23" customFormat="1" ht="15.75" customHeight="1" x14ac:dyDescent="0.25"/>
    <row r="953" s="23" customFormat="1" ht="15.75" customHeight="1" x14ac:dyDescent="0.25"/>
    <row r="954" s="23" customFormat="1" ht="15.75" customHeight="1" x14ac:dyDescent="0.25"/>
    <row r="955" s="23" customFormat="1" ht="15.75" customHeight="1" x14ac:dyDescent="0.25"/>
    <row r="956" s="23" customFormat="1" ht="15.75" customHeight="1" x14ac:dyDescent="0.25"/>
    <row r="957" s="23" customFormat="1" ht="15.75" customHeight="1" x14ac:dyDescent="0.25"/>
    <row r="958" s="23" customFormat="1" ht="15.75" customHeight="1" x14ac:dyDescent="0.25"/>
    <row r="959" s="23" customFormat="1" ht="15.75" customHeight="1" x14ac:dyDescent="0.25"/>
    <row r="960" s="23" customFormat="1" ht="15.75" customHeight="1" x14ac:dyDescent="0.25"/>
    <row r="961" s="23" customFormat="1" ht="15.75" customHeight="1" x14ac:dyDescent="0.25"/>
    <row r="962" s="23" customFormat="1" ht="15.75" customHeight="1" x14ac:dyDescent="0.25"/>
    <row r="963" s="23" customFormat="1" ht="15.75" customHeight="1" x14ac:dyDescent="0.25"/>
    <row r="964" s="23" customFormat="1" ht="15.75" customHeight="1" x14ac:dyDescent="0.25"/>
    <row r="965" s="23" customFormat="1" ht="15.75" customHeight="1" x14ac:dyDescent="0.25"/>
    <row r="966" s="23" customFormat="1" ht="15.75" customHeight="1" x14ac:dyDescent="0.25"/>
    <row r="967" s="23" customFormat="1" ht="15.75" customHeight="1" x14ac:dyDescent="0.25"/>
    <row r="968" s="23" customFormat="1" ht="15.75" customHeight="1" x14ac:dyDescent="0.25"/>
    <row r="969" s="23" customFormat="1" ht="15.75" customHeight="1" x14ac:dyDescent="0.25"/>
    <row r="970" s="23" customFormat="1" ht="15.75" customHeight="1" x14ac:dyDescent="0.25"/>
    <row r="971" s="23" customFormat="1" ht="15.75" customHeight="1" x14ac:dyDescent="0.25"/>
    <row r="972" s="23" customFormat="1" ht="15.75" customHeight="1" x14ac:dyDescent="0.25"/>
    <row r="973" s="23" customFormat="1" ht="15.75" customHeight="1" x14ac:dyDescent="0.25"/>
    <row r="974" s="23" customFormat="1" ht="15.75" customHeight="1" x14ac:dyDescent="0.25"/>
    <row r="975" s="23" customFormat="1" ht="15.75" customHeight="1" x14ac:dyDescent="0.25"/>
    <row r="976" s="23" customFormat="1" ht="15.75" customHeight="1" x14ac:dyDescent="0.25"/>
    <row r="977" s="23" customFormat="1" ht="15.75" customHeight="1" x14ac:dyDescent="0.25"/>
    <row r="978" s="23" customFormat="1" ht="15.75" customHeight="1" x14ac:dyDescent="0.25"/>
    <row r="979" s="23" customFormat="1" ht="15.75" customHeight="1" x14ac:dyDescent="0.25"/>
    <row r="980" s="23" customFormat="1" ht="15.75" customHeight="1" x14ac:dyDescent="0.25"/>
    <row r="981" s="23" customFormat="1" ht="15.75" customHeight="1" x14ac:dyDescent="0.25"/>
    <row r="982" s="23" customFormat="1" ht="15.75" customHeight="1" x14ac:dyDescent="0.25"/>
    <row r="983" s="23" customFormat="1" ht="15.75" customHeight="1" x14ac:dyDescent="0.25"/>
    <row r="984" s="23" customFormat="1" ht="15.75" customHeight="1" x14ac:dyDescent="0.25"/>
    <row r="985" s="23" customFormat="1" ht="15.75" customHeight="1" x14ac:dyDescent="0.25"/>
    <row r="986" s="23" customFormat="1" ht="15.75" customHeight="1" x14ac:dyDescent="0.25"/>
    <row r="987" s="23" customFormat="1" ht="15.75" customHeight="1" x14ac:dyDescent="0.25"/>
    <row r="988" s="23" customFormat="1" ht="15.75" customHeight="1" x14ac:dyDescent="0.25"/>
    <row r="989" s="23" customFormat="1" ht="15.75" customHeight="1" x14ac:dyDescent="0.25"/>
  </sheetData>
  <mergeCells count="1">
    <mergeCell ref="V15:AC16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Backlog</vt:lpstr>
      <vt:lpstr>sprint0</vt:lpstr>
      <vt:lpstr>burdonchart (1)</vt:lpstr>
      <vt:lpstr>burdonchart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cmacuna@espe.edu.ec</cp:lastModifiedBy>
  <dcterms:created xsi:type="dcterms:W3CDTF">2023-06-05T13:12:31Z</dcterms:created>
  <dcterms:modified xsi:type="dcterms:W3CDTF">2026-01-21T16:16:42Z</dcterms:modified>
</cp:coreProperties>
</file>