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GitHub\27837_G1_ADS\PREGAME\1. ELICITACIÓN\1.6 Backlog\"/>
    </mc:Choice>
  </mc:AlternateContent>
  <xr:revisionPtr revIDLastSave="0" documentId="13_ncr:1_{ADD20A51-8CA2-4C01-AA4C-8B682C8E9A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" sheetId="2" r:id="rId2"/>
    <sheet name="burdonchart (2)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T13" i="7" l="1"/>
  <c r="T14" i="7"/>
  <c r="T12" i="7"/>
  <c r="T10" i="7"/>
  <c r="T11" i="7"/>
  <c r="T3" i="7"/>
  <c r="T4" i="7"/>
  <c r="T5" i="7"/>
  <c r="T6" i="7"/>
  <c r="T7" i="7"/>
  <c r="T8" i="7"/>
  <c r="T9" i="7"/>
  <c r="C16" i="7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C17" i="7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</calcChain>
</file>

<file path=xl/sharedStrings.xml><?xml version="1.0" encoding="utf-8"?>
<sst xmlns="http://schemas.openxmlformats.org/spreadsheetml/2006/main" count="143" uniqueCount="93">
  <si>
    <t>Tema</t>
  </si>
  <si>
    <t>Como un..</t>
  </si>
  <si>
    <t>necesito</t>
  </si>
  <si>
    <t>asi podre...</t>
  </si>
  <si>
    <t>notas</t>
  </si>
  <si>
    <t>prioridad</t>
  </si>
  <si>
    <t>estatus</t>
  </si>
  <si>
    <t>ID</t>
  </si>
  <si>
    <t>Necesito</t>
  </si>
  <si>
    <t>así podre...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</si>
  <si>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</si>
  <si>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</si>
  <si>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</si>
  <si>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</si>
  <si>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</si>
  <si>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</si>
  <si>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</si>
  <si>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</si>
  <si>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</si>
  <si>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</si>
  <si>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</si>
  <si>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Usuario / Cuidador</t>
  </si>
  <si>
    <t>No Iniciado</t>
  </si>
  <si>
    <t>Marcelo Acuña</t>
  </si>
  <si>
    <t>Abner Arboleda</t>
  </si>
  <si>
    <t>Christian Bonifaz</t>
  </si>
  <si>
    <t>Tareas</t>
  </si>
  <si>
    <t>Asignado</t>
  </si>
  <si>
    <t>RECOMENDACIÓN</t>
  </si>
  <si>
    <t>COCLUSION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</si>
  <si>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</si>
  <si>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</si>
  <si>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</si>
  <si>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</si>
  <si>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</si>
  <si>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</si>
  <si>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</si>
  <si>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</si>
  <si>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</si>
  <si>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</si>
  <si>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</si>
  <si>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REQ006</t>
  </si>
  <si>
    <t>Informes de historial de medicación</t>
  </si>
  <si>
    <t>Cuidador / Profesional de salud</t>
  </si>
  <si>
    <t>Registrar eventos de toma (tomado, omitido, pospuesto) y generar informes</t>
  </si>
  <si>
    <t>Visualizar y compartir el historial completo de medicación con fechas y motivos</t>
  </si>
  <si>
    <t>Compatible con exportación a PDF y Excel</t>
  </si>
  <si>
    <t>Media</t>
  </si>
  <si>
    <t>No iniciado</t>
  </si>
  <si>
    <t>REQ007</t>
  </si>
  <si>
    <t>Seguimiento de síntomas</t>
  </si>
  <si>
    <t>Usuario adulto mayor / Cuidador</t>
  </si>
  <si>
    <t>Registrar síntomas asociados a medicamentos</t>
  </si>
  <si>
    <t>Monitorear la evolución del tratamiento y detectar efectos secundarios</t>
  </si>
  <si>
    <t>Puede incluir íconos o categorías visuales</t>
  </si>
  <si>
    <t>REQ008</t>
  </si>
  <si>
    <t>Gestión de perfiles múltiples</t>
  </si>
  <si>
    <t>Cuidador</t>
  </si>
  <si>
    <t>Gestionar múltiples perfiles de usuario</t>
  </si>
  <si>
    <t>Administrar distintos pacientes con historiales independientes</t>
  </si>
  <si>
    <t>Facilita el trabajo de cuidadores con varios pacientes</t>
  </si>
  <si>
    <t>RF06</t>
  </si>
  <si>
    <t>Visualizar y compartir el historial completo del tratamiento</t>
  </si>
  <si>
    <t>Compatible con exportación PDF y Excel</t>
  </si>
  <si>
    <t>RF06 - Informes de historial de medicación</t>
  </si>
  <si>
    <t>RF06-1</t>
  </si>
  <si>
    <t>Diseñar estructura del historial de eventos</t>
  </si>
  <si>
    <t>RF06-2</t>
  </si>
  <si>
    <t>Registrar eventos de toma con fecha, hora y motivo</t>
  </si>
  <si>
    <t>RF06-3</t>
  </si>
  <si>
    <t>Generar reporte en formato PDF</t>
  </si>
  <si>
    <t>RF06-4</t>
  </si>
  <si>
    <t>Implementar exportación opcional a Excel</t>
  </si>
  <si>
    <t>RF07-1</t>
  </si>
  <si>
    <t>Crear formulario de registro de síntomas</t>
  </si>
  <si>
    <t>RF07-2</t>
  </si>
  <si>
    <t>Asociar síntomas a medicamentos específicos</t>
  </si>
  <si>
    <t>RF07-3</t>
  </si>
  <si>
    <t>Guardar síntomas en el historial del medicamento</t>
  </si>
  <si>
    <t>RF07-4</t>
  </si>
  <si>
    <t>Mostrar síntomas en vista histórica</t>
  </si>
  <si>
    <t>RF07</t>
  </si>
  <si>
    <t>Uso de íconos o categorías visuales</t>
  </si>
  <si>
    <t>RF08</t>
  </si>
  <si>
    <t>Facilita la gestión de varios pacientes</t>
  </si>
  <si>
    <t>RF08-1</t>
  </si>
  <si>
    <t>Diseñar estructura de perfiles de usuario</t>
  </si>
  <si>
    <t>RF08-2</t>
  </si>
  <si>
    <t>Crear funcionalidad para agregar y editar perfiles</t>
  </si>
  <si>
    <t>RF08-3</t>
  </si>
  <si>
    <t>Asociar medicamentos y eventos a cada perfil</t>
  </si>
  <si>
    <t>RF08-4</t>
  </si>
  <si>
    <t>Validar independencia de datos entre perfiles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</si>
</sst>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sz val="8"/>
      <name val="Arial"/>
      <scheme val="minor"/>
    </font>
    <font>
      <sz val="10"/>
      <color rgb="FF000000"/>
      <name val="Arial"/>
      <scheme val="minor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FF"/>
      <name val="Times New Roman"/>
    </font>
    <font>
      <sz val="11"/>
      <name val="Times New Roman"/>
    </font>
    <font>
      <b/>
      <sz val="11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2"/>
  </cellStyleXfs>
  <cellXfs count="44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wrapText="1"/>
    </xf>
    <xf numFmtId="0" fontId="3" fillId="0" borderId="0" xfId="0" applyFont="1"/>
    <xf numFmtId="0" fontId="0" fillId="0" borderId="0" xfId="0" applyFont="1" applyAlignment="1"/>
    <xf numFmtId="0" fontId="0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0" fillId="0" borderId="0" xfId="0"/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Font="1" applyAlignment="1"/>
    <xf numFmtId="0" fontId="14" fillId="0" borderId="2" xfId="1" applyFont="1"/>
    <xf numFmtId="0" fontId="15" fillId="0" borderId="1" xfId="1" applyFont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5" borderId="9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5" fillId="0" borderId="2" xfId="1" applyFont="1"/>
    <xf numFmtId="0" fontId="18" fillId="0" borderId="1" xfId="1" applyFont="1" applyBorder="1" applyAlignment="1">
      <alignment horizontal="center" vertical="center"/>
    </xf>
    <xf numFmtId="0" fontId="19" fillId="0" borderId="2" xfId="1" applyFont="1"/>
    <xf numFmtId="0" fontId="16" fillId="0" borderId="1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2" xfId="1" applyFont="1" applyAlignment="1">
      <alignment horizontal="center" vertical="center"/>
    </xf>
    <xf numFmtId="0" fontId="15" fillId="2" borderId="12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2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0" fillId="0" borderId="2" xfId="0" applyFont="1" applyBorder="1" applyAlignment="1"/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3" fillId="0" borderId="2" xfId="0" applyFont="1" applyBorder="1"/>
  </cellXfs>
  <cellStyles count="2">
    <cellStyle name="Normal" xfId="0" builtinId="0"/>
    <cellStyle name="Normal 2" xfId="1" xr:uid="{E60A91F3-5F66-40EF-8C40-9C5D2A9E1E3E}"/>
  </cellStyles>
  <dxfs count="7">
    <dxf>
      <font>
        <sz val="11"/>
        <name val="Times New Roman"/>
      </font>
      <numFmt numFmtId="0" formatCode="General"/>
      <alignment horizontal="center" vertical="center"/>
      <border>
        <left/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Horas Estimadas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(2)'!$B$16:$S$16</c:f>
              <c:numCache>
                <c:formatCode>General</c:formatCode>
                <c:ptCount val="18"/>
                <c:pt idx="0">
                  <c:v>0</c:v>
                </c:pt>
                <c:pt idx="1">
                  <c:v>29</c:v>
                </c:pt>
                <c:pt idx="2">
                  <c:v>27</c:v>
                </c:pt>
                <c:pt idx="3">
                  <c:v>24</c:v>
                </c:pt>
                <c:pt idx="4">
                  <c:v>21</c:v>
                </c:pt>
                <c:pt idx="5">
                  <c:v>19</c:v>
                </c:pt>
                <c:pt idx="6">
                  <c:v>17</c:v>
                </c:pt>
                <c:pt idx="7">
                  <c:v>15</c:v>
                </c:pt>
                <c:pt idx="8">
                  <c:v>14</c:v>
                </c:pt>
                <c:pt idx="9">
                  <c:v>12</c:v>
                </c:pt>
                <c:pt idx="10">
                  <c:v>10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3-4F91-A106-6FE05EC584DB}"/>
            </c:ext>
          </c:extLst>
        </c:ser>
        <c:ser>
          <c:idx val="1"/>
          <c:order val="1"/>
          <c:tx>
            <c:v>Horas Restantes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(2)'!$B$17:$S$17</c:f>
              <c:numCache>
                <c:formatCode>General</c:formatCode>
                <c:ptCount val="18"/>
                <c:pt idx="0">
                  <c:v>0</c:v>
                </c:pt>
                <c:pt idx="1">
                  <c:v>29</c:v>
                </c:pt>
                <c:pt idx="2">
                  <c:v>27.1875</c:v>
                </c:pt>
                <c:pt idx="3">
                  <c:v>25.375</c:v>
                </c:pt>
                <c:pt idx="4">
                  <c:v>23.5625</c:v>
                </c:pt>
                <c:pt idx="5">
                  <c:v>21.75</c:v>
                </c:pt>
                <c:pt idx="6">
                  <c:v>19.9375</c:v>
                </c:pt>
                <c:pt idx="7">
                  <c:v>18.125</c:v>
                </c:pt>
                <c:pt idx="8">
                  <c:v>16.3125</c:v>
                </c:pt>
                <c:pt idx="9">
                  <c:v>14.5</c:v>
                </c:pt>
                <c:pt idx="10">
                  <c:v>12.6875</c:v>
                </c:pt>
                <c:pt idx="11">
                  <c:v>10.875</c:v>
                </c:pt>
                <c:pt idx="12">
                  <c:v>9.0625</c:v>
                </c:pt>
                <c:pt idx="13">
                  <c:v>7.25</c:v>
                </c:pt>
                <c:pt idx="14">
                  <c:v>5.4375</c:v>
                </c:pt>
                <c:pt idx="15">
                  <c:v>3.625</c:v>
                </c:pt>
                <c:pt idx="16">
                  <c:v>1.8125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3-4F91-A106-6FE05EC5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209550</xdr:rowOff>
    </xdr:from>
    <xdr:ext cx="6372225" cy="3914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3EADED57-771E-4044-AFB1-E7E8BC233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7F96F-7AE8-4295-9FFC-8CF12F936BC8}" name="Table_13" displayName="Table_13" ref="T3:T14" headerRowCount="0" headerRowDxfId="3" dataDxfId="2" totalsRowDxfId="1">
  <tableColumns count="1">
    <tableColumn id="1" xr3:uid="{00000000-0010-0000-0000-000001000000}" name="Column1" dataDxfId="0">
      <calculatedColumnFormula>SUM(D3:S3)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4"/>
  <sheetViews>
    <sheetView workbookViewId="0">
      <selection activeCell="E2" sqref="E2"/>
    </sheetView>
  </sheetViews>
  <sheetFormatPr baseColWidth="10" defaultColWidth="12.5546875" defaultRowHeight="15" customHeight="1" x14ac:dyDescent="0.25"/>
  <cols>
    <col min="1" max="1" width="12.44140625" customWidth="1"/>
    <col min="2" max="2" width="30.33203125" customWidth="1"/>
    <col min="3" max="3" width="36" customWidth="1"/>
    <col min="4" max="4" width="41.44140625" customWidth="1"/>
    <col min="5" max="5" width="54.44140625" customWidth="1"/>
    <col min="6" max="6" width="11.88671875" bestFit="1" customWidth="1"/>
    <col min="7" max="26" width="12.44140625" customWidth="1"/>
  </cols>
  <sheetData>
    <row r="1" spans="1:26" ht="15.75" customHeight="1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6" customFormat="1" ht="52.8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</row>
    <row r="3" spans="1:26" ht="52.8" x14ac:dyDescent="0.25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47</v>
      </c>
      <c r="H3" s="3" t="s">
        <v>48</v>
      </c>
    </row>
    <row r="4" spans="1:26" ht="66" x14ac:dyDescent="0.25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47</v>
      </c>
      <c r="H4" s="3" t="s">
        <v>48</v>
      </c>
    </row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8"/>
  <sheetViews>
    <sheetView tabSelected="1" topLeftCell="A13" zoomScale="117" zoomScaleNormal="70" workbookViewId="0">
      <selection activeCell="C7" sqref="C7"/>
    </sheetView>
  </sheetViews>
  <sheetFormatPr baseColWidth="10" defaultColWidth="12.5546875" defaultRowHeight="15" customHeight="1" x14ac:dyDescent="0.25"/>
  <cols>
    <col min="1" max="2" width="12.44140625" customWidth="1"/>
    <col min="3" max="3" width="71.33203125" bestFit="1" customWidth="1"/>
    <col min="4" max="4" width="17" bestFit="1" customWidth="1"/>
    <col min="5" max="5" width="82" bestFit="1" customWidth="1"/>
    <col min="6" max="6" width="56.109375" customWidth="1"/>
    <col min="7" max="7" width="34.5546875" bestFit="1" customWidth="1"/>
    <col min="8" max="27" width="12.44140625" customWidth="1"/>
  </cols>
  <sheetData>
    <row r="1" spans="1:27" ht="15.75" customHeight="1" x14ac:dyDescent="0.25"/>
    <row r="2" spans="1:27" ht="15.75" customHeight="1" x14ac:dyDescent="0.25">
      <c r="B2" s="40"/>
      <c r="C2" s="40"/>
      <c r="D2" s="40"/>
      <c r="E2" s="40"/>
      <c r="F2" s="40"/>
      <c r="G2" s="40"/>
      <c r="H2" s="40"/>
      <c r="I2" s="40"/>
      <c r="J2" s="40"/>
    </row>
    <row r="3" spans="1:27" ht="15.75" customHeight="1" x14ac:dyDescent="0.25">
      <c r="A3" s="4"/>
      <c r="B3" s="41"/>
      <c r="C3" s="41"/>
      <c r="D3" s="41"/>
      <c r="E3" s="41"/>
      <c r="F3" s="41"/>
      <c r="G3" s="41"/>
      <c r="H3" s="41"/>
      <c r="I3" s="41"/>
      <c r="J3" s="41"/>
      <c r="K3" s="4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3.2" x14ac:dyDescent="0.25">
      <c r="B4" s="17"/>
      <c r="C4" s="17"/>
      <c r="D4" s="17"/>
      <c r="E4" s="17"/>
      <c r="F4" s="17"/>
      <c r="G4" s="42"/>
      <c r="H4" s="42"/>
      <c r="I4" s="42"/>
      <c r="J4" s="42"/>
      <c r="K4" s="40"/>
    </row>
    <row r="5" spans="1:27" ht="13.2" x14ac:dyDescent="0.25">
      <c r="B5" s="40"/>
      <c r="C5" s="40"/>
      <c r="D5" s="40"/>
      <c r="E5" s="40"/>
      <c r="F5" s="40"/>
      <c r="G5" s="42"/>
      <c r="H5" s="42"/>
      <c r="I5" s="42"/>
      <c r="J5" s="42"/>
      <c r="K5" s="40"/>
    </row>
    <row r="6" spans="1:27" ht="13.2" x14ac:dyDescent="0.25">
      <c r="B6" s="41"/>
      <c r="C6" s="41"/>
      <c r="D6" s="41"/>
      <c r="E6" s="41"/>
      <c r="F6" s="41"/>
      <c r="G6" s="42"/>
      <c r="H6" s="42"/>
      <c r="I6" s="42"/>
      <c r="J6" s="42"/>
      <c r="K6" s="40"/>
    </row>
    <row r="7" spans="1:27" ht="20.399999999999999" customHeight="1" x14ac:dyDescent="0.25">
      <c r="B7" s="17"/>
      <c r="C7" s="17"/>
      <c r="D7" s="17"/>
      <c r="E7" s="17"/>
      <c r="F7" s="17"/>
      <c r="G7" s="42"/>
      <c r="H7" s="42"/>
      <c r="I7" s="42"/>
      <c r="J7" s="42"/>
      <c r="K7" s="40"/>
    </row>
    <row r="8" spans="1:27" ht="13.2" x14ac:dyDescent="0.25">
      <c r="B8" s="40"/>
      <c r="C8" s="40"/>
      <c r="D8" s="40"/>
      <c r="E8" s="40"/>
      <c r="F8" s="40"/>
      <c r="G8" s="42"/>
      <c r="H8" s="42"/>
      <c r="I8" s="42"/>
      <c r="J8" s="42"/>
      <c r="K8" s="40"/>
    </row>
    <row r="9" spans="1:27" ht="15.75" customHeight="1" x14ac:dyDescent="0.25">
      <c r="B9" s="41"/>
      <c r="C9" s="41"/>
      <c r="D9" s="41"/>
      <c r="E9" s="41"/>
      <c r="F9" s="41"/>
      <c r="G9" s="40"/>
      <c r="H9" s="40"/>
      <c r="I9" s="40"/>
      <c r="J9" s="40"/>
      <c r="K9" s="40"/>
    </row>
    <row r="10" spans="1:27" ht="15.75" customHeight="1" x14ac:dyDescent="0.25">
      <c r="H10" s="40"/>
      <c r="I10" s="40"/>
      <c r="J10" s="40"/>
      <c r="K10" s="40"/>
    </row>
    <row r="11" spans="1:27" ht="15.75" customHeight="1" x14ac:dyDescent="0.25"/>
    <row r="12" spans="1:27" ht="15.75" customHeight="1" x14ac:dyDescent="0.25">
      <c r="B12" s="7" t="s">
        <v>7</v>
      </c>
      <c r="C12" s="7" t="s">
        <v>0</v>
      </c>
      <c r="D12" s="7" t="s">
        <v>1</v>
      </c>
      <c r="E12" s="7" t="s">
        <v>8</v>
      </c>
      <c r="F12" s="7" t="s">
        <v>9</v>
      </c>
      <c r="G12" s="7" t="s">
        <v>4</v>
      </c>
      <c r="H12" s="7" t="s">
        <v>10</v>
      </c>
      <c r="I12" s="7" t="s">
        <v>11</v>
      </c>
    </row>
    <row r="13" spans="1:27" ht="26.4" x14ac:dyDescent="0.25">
      <c r="B13" s="14" t="s">
        <v>61</v>
      </c>
      <c r="C13" s="14" t="s">
        <v>64</v>
      </c>
      <c r="D13" s="14" t="s">
        <v>21</v>
      </c>
      <c r="E13" s="14" t="s">
        <v>44</v>
      </c>
      <c r="F13" s="15" t="s">
        <v>62</v>
      </c>
      <c r="G13" s="33" t="s">
        <v>63</v>
      </c>
      <c r="H13" s="14" t="s">
        <v>47</v>
      </c>
      <c r="I13" s="14" t="s">
        <v>22</v>
      </c>
    </row>
    <row r="14" spans="1:27" ht="15.75" customHeight="1" x14ac:dyDescent="0.25">
      <c r="B14" s="8"/>
      <c r="C14" s="9" t="s">
        <v>26</v>
      </c>
      <c r="D14" s="8"/>
      <c r="E14" s="8"/>
      <c r="F14" s="8"/>
      <c r="G14" s="9" t="s">
        <v>27</v>
      </c>
      <c r="H14" s="8"/>
      <c r="I14" s="9" t="s">
        <v>12</v>
      </c>
    </row>
    <row r="15" spans="1:27" ht="15.75" customHeight="1" x14ac:dyDescent="0.25">
      <c r="B15" s="8" t="s">
        <v>65</v>
      </c>
      <c r="C15" s="8" t="s">
        <v>66</v>
      </c>
      <c r="D15" s="8"/>
      <c r="E15" s="8"/>
      <c r="G15" s="8" t="s">
        <v>24</v>
      </c>
      <c r="I15" s="8">
        <v>2</v>
      </c>
    </row>
    <row r="16" spans="1:27" ht="15.75" customHeight="1" x14ac:dyDescent="0.25">
      <c r="B16" s="8" t="s">
        <v>67</v>
      </c>
      <c r="C16" s="8" t="s">
        <v>68</v>
      </c>
      <c r="D16" s="8"/>
      <c r="E16" s="8"/>
      <c r="G16" s="8" t="s">
        <v>24</v>
      </c>
      <c r="I16" s="8">
        <v>3</v>
      </c>
    </row>
    <row r="17" spans="2:9" ht="13.2" x14ac:dyDescent="0.25">
      <c r="B17" s="8" t="s">
        <v>69</v>
      </c>
      <c r="C17" s="8" t="s">
        <v>70</v>
      </c>
      <c r="D17" s="8"/>
      <c r="E17" s="8"/>
      <c r="G17" s="8" t="s">
        <v>24</v>
      </c>
      <c r="I17" s="8">
        <v>3</v>
      </c>
    </row>
    <row r="18" spans="2:9" ht="15.75" customHeight="1" x14ac:dyDescent="0.25">
      <c r="B18" s="8" t="s">
        <v>71</v>
      </c>
      <c r="C18" s="8" t="s">
        <v>72</v>
      </c>
      <c r="D18" s="8"/>
      <c r="E18" s="8"/>
      <c r="G18" s="8" t="s">
        <v>24</v>
      </c>
      <c r="I18" s="8">
        <v>2</v>
      </c>
    </row>
    <row r="19" spans="2:9" ht="15.75" customHeight="1" x14ac:dyDescent="0.25">
      <c r="B19" s="8"/>
      <c r="C19" s="8"/>
      <c r="D19" s="10"/>
      <c r="E19" s="10"/>
      <c r="F19" s="10"/>
      <c r="G19" s="8"/>
      <c r="H19" s="8"/>
      <c r="I19" s="11"/>
    </row>
    <row r="20" spans="2:9" ht="26.4" x14ac:dyDescent="0.25">
      <c r="B20" s="14" t="s">
        <v>81</v>
      </c>
      <c r="C20" s="14" t="s">
        <v>50</v>
      </c>
      <c r="D20" s="14" t="s">
        <v>21</v>
      </c>
      <c r="E20" s="14" t="s">
        <v>52</v>
      </c>
      <c r="F20" s="15" t="s">
        <v>53</v>
      </c>
      <c r="G20" s="33" t="s">
        <v>82</v>
      </c>
      <c r="H20" s="14" t="s">
        <v>47</v>
      </c>
      <c r="I20" s="14" t="s">
        <v>22</v>
      </c>
    </row>
    <row r="21" spans="2:9" ht="15.75" customHeight="1" x14ac:dyDescent="0.25">
      <c r="B21" s="8"/>
      <c r="C21" s="9" t="s">
        <v>26</v>
      </c>
      <c r="D21" s="10"/>
      <c r="E21" s="10"/>
      <c r="F21" s="10"/>
      <c r="G21" s="9" t="s">
        <v>27</v>
      </c>
      <c r="H21" s="10"/>
      <c r="I21" s="11" t="s">
        <v>12</v>
      </c>
    </row>
    <row r="22" spans="2:9" ht="15.75" customHeight="1" x14ac:dyDescent="0.25">
      <c r="B22" s="8" t="s">
        <v>73</v>
      </c>
      <c r="C22" s="8" t="s">
        <v>74</v>
      </c>
      <c r="D22" s="8"/>
      <c r="E22" s="8"/>
      <c r="F22" s="8"/>
      <c r="G22" s="8" t="s">
        <v>25</v>
      </c>
      <c r="H22" s="8"/>
      <c r="I22" s="8">
        <v>2</v>
      </c>
    </row>
    <row r="23" spans="2:9" ht="15.75" customHeight="1" x14ac:dyDescent="0.25">
      <c r="B23" s="8" t="s">
        <v>75</v>
      </c>
      <c r="C23" s="8" t="s">
        <v>76</v>
      </c>
      <c r="D23" s="8"/>
      <c r="E23" s="8"/>
      <c r="F23" s="8"/>
      <c r="G23" s="8" t="s">
        <v>25</v>
      </c>
      <c r="H23" s="8"/>
      <c r="I23" s="8">
        <v>3</v>
      </c>
    </row>
    <row r="24" spans="2:9" ht="15.75" customHeight="1" x14ac:dyDescent="0.25">
      <c r="B24" s="8" t="s">
        <v>77</v>
      </c>
      <c r="C24" s="8" t="s">
        <v>78</v>
      </c>
      <c r="D24" s="8"/>
      <c r="E24" s="8"/>
      <c r="F24" s="8"/>
      <c r="G24" s="8" t="s">
        <v>25</v>
      </c>
      <c r="H24" s="8"/>
      <c r="I24" s="8">
        <v>2</v>
      </c>
    </row>
    <row r="25" spans="2:9" s="17" customFormat="1" ht="15.75" customHeight="1" x14ac:dyDescent="0.25">
      <c r="B25" s="8" t="s">
        <v>79</v>
      </c>
      <c r="C25" s="8" t="s">
        <v>80</v>
      </c>
      <c r="D25" s="8"/>
      <c r="E25" s="8"/>
      <c r="F25" s="8"/>
      <c r="G25" s="8" t="s">
        <v>25</v>
      </c>
      <c r="H25" s="8"/>
      <c r="I25" s="8">
        <v>2</v>
      </c>
    </row>
    <row r="26" spans="2:9" ht="15.75" customHeight="1" x14ac:dyDescent="0.25">
      <c r="B26" s="10"/>
      <c r="D26" s="12"/>
      <c r="E26" s="12"/>
      <c r="F26" s="12"/>
      <c r="G26" s="10"/>
      <c r="H26" s="10"/>
      <c r="I26" s="10"/>
    </row>
    <row r="27" spans="2:9" ht="15.75" customHeight="1" x14ac:dyDescent="0.25">
      <c r="B27" s="14" t="s">
        <v>83</v>
      </c>
      <c r="C27" s="14" t="s">
        <v>56</v>
      </c>
      <c r="D27" s="14" t="s">
        <v>21</v>
      </c>
      <c r="E27" s="14" t="s">
        <v>58</v>
      </c>
      <c r="F27" s="15" t="s">
        <v>59</v>
      </c>
      <c r="G27" s="16" t="s">
        <v>84</v>
      </c>
      <c r="H27" s="14" t="s">
        <v>47</v>
      </c>
      <c r="I27" s="14" t="s">
        <v>22</v>
      </c>
    </row>
    <row r="28" spans="2:9" ht="15.75" customHeight="1" x14ac:dyDescent="0.25">
      <c r="B28" s="8"/>
      <c r="C28" s="9" t="s">
        <v>26</v>
      </c>
      <c r="D28" s="10"/>
      <c r="E28" s="10"/>
      <c r="F28" s="10"/>
      <c r="G28" s="9" t="s">
        <v>27</v>
      </c>
      <c r="H28" s="10"/>
      <c r="I28" s="11" t="s">
        <v>12</v>
      </c>
    </row>
    <row r="29" spans="2:9" ht="15.75" customHeight="1" x14ac:dyDescent="0.25">
      <c r="B29" s="8" t="s">
        <v>85</v>
      </c>
      <c r="C29" s="8" t="s">
        <v>86</v>
      </c>
      <c r="D29" s="10"/>
      <c r="E29" s="10"/>
      <c r="F29" s="10"/>
      <c r="G29" s="10" t="s">
        <v>23</v>
      </c>
      <c r="H29" s="10"/>
      <c r="I29" s="8">
        <v>2</v>
      </c>
    </row>
    <row r="30" spans="2:9" ht="15.75" customHeight="1" x14ac:dyDescent="0.25">
      <c r="B30" s="8" t="s">
        <v>87</v>
      </c>
      <c r="C30" s="8" t="s">
        <v>88</v>
      </c>
      <c r="D30" s="13"/>
      <c r="E30" s="13"/>
      <c r="F30" s="13"/>
      <c r="G30" s="10" t="s">
        <v>23</v>
      </c>
      <c r="H30" s="13"/>
      <c r="I30" s="8">
        <v>3</v>
      </c>
    </row>
    <row r="31" spans="2:9" s="5" customFormat="1" ht="15.75" customHeight="1" x14ac:dyDescent="0.25">
      <c r="B31" s="8" t="s">
        <v>89</v>
      </c>
      <c r="C31" s="8" t="s">
        <v>90</v>
      </c>
      <c r="D31" s="13"/>
      <c r="E31" s="13"/>
      <c r="F31" s="13"/>
      <c r="G31" s="10" t="s">
        <v>23</v>
      </c>
      <c r="H31" s="13"/>
      <c r="I31" s="8">
        <v>3</v>
      </c>
    </row>
    <row r="32" spans="2:9" ht="15.75" customHeight="1" x14ac:dyDescent="0.25">
      <c r="B32" s="8" t="s">
        <v>91</v>
      </c>
      <c r="C32" s="8" t="s">
        <v>92</v>
      </c>
      <c r="D32" s="13"/>
      <c r="E32" s="13"/>
      <c r="F32" s="13"/>
      <c r="G32" s="10" t="s">
        <v>23</v>
      </c>
      <c r="H32" s="13"/>
      <c r="I32" s="8">
        <v>2</v>
      </c>
    </row>
    <row r="33" spans="9:9" ht="15.75" customHeight="1" x14ac:dyDescent="0.25">
      <c r="I33" s="8"/>
    </row>
    <row r="34" spans="9:9" ht="15.75" customHeight="1" x14ac:dyDescent="0.25"/>
    <row r="35" spans="9:9" ht="15.75" customHeight="1" x14ac:dyDescent="0.25"/>
    <row r="36" spans="9:9" ht="15.75" customHeight="1" x14ac:dyDescent="0.25"/>
    <row r="37" spans="9:9" ht="15.75" customHeight="1" x14ac:dyDescent="0.25"/>
    <row r="38" spans="9:9" ht="15.75" customHeight="1" x14ac:dyDescent="0.25"/>
    <row r="39" spans="9:9" ht="15.75" customHeight="1" x14ac:dyDescent="0.25"/>
    <row r="40" spans="9:9" ht="15.75" customHeight="1" x14ac:dyDescent="0.25"/>
    <row r="41" spans="9:9" ht="15.75" customHeight="1" x14ac:dyDescent="0.25"/>
    <row r="42" spans="9:9" ht="15.75" customHeight="1" x14ac:dyDescent="0.25"/>
    <row r="43" spans="9:9" ht="15.75" customHeight="1" x14ac:dyDescent="0.25"/>
    <row r="44" spans="9:9" ht="15.75" customHeight="1" x14ac:dyDescent="0.25"/>
    <row r="45" spans="9:9" ht="15.75" customHeight="1" x14ac:dyDescent="0.25"/>
    <row r="46" spans="9:9" ht="15.75" customHeight="1" x14ac:dyDescent="0.25"/>
    <row r="47" spans="9:9" ht="15.75" customHeight="1" x14ac:dyDescent="0.25"/>
    <row r="48" spans="9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A50D-B861-49DB-9BF6-2F2A85B8A964}">
  <sheetPr>
    <outlinePr summaryBelow="0" summaryRight="0"/>
  </sheetPr>
  <dimension ref="A1:AC989"/>
  <sheetViews>
    <sheetView topLeftCell="B1" zoomScale="81" zoomScaleNormal="70" workbookViewId="0">
      <selection activeCell="M24" sqref="M24"/>
    </sheetView>
  </sheetViews>
  <sheetFormatPr baseColWidth="10" defaultColWidth="12.5546875" defaultRowHeight="15" customHeight="1" x14ac:dyDescent="0.25"/>
  <cols>
    <col min="1" max="1" width="4.33203125" style="18" customWidth="1"/>
    <col min="2" max="2" width="24.5546875" style="18" customWidth="1"/>
    <col min="3" max="19" width="12.44140625" style="18" customWidth="1"/>
    <col min="20" max="20" width="14.6640625" style="18" customWidth="1"/>
    <col min="21" max="37" width="12.44140625" style="18" customWidth="1"/>
    <col min="38" max="16384" width="12.5546875" style="18"/>
  </cols>
  <sheetData>
    <row r="1" spans="1:29" ht="15.75" customHeight="1" x14ac:dyDescent="0.25"/>
    <row r="2" spans="1:29" s="27" customFormat="1" ht="20.25" customHeight="1" x14ac:dyDescent="0.25">
      <c r="B2" s="31"/>
      <c r="C2" s="28" t="s">
        <v>12</v>
      </c>
      <c r="D2" s="30" t="s">
        <v>40</v>
      </c>
      <c r="E2" s="30" t="s">
        <v>39</v>
      </c>
      <c r="F2" s="30" t="s">
        <v>38</v>
      </c>
      <c r="G2" s="30" t="s">
        <v>37</v>
      </c>
      <c r="H2" s="30" t="s">
        <v>36</v>
      </c>
      <c r="I2" s="30" t="s">
        <v>35</v>
      </c>
      <c r="J2" s="30" t="s">
        <v>34</v>
      </c>
      <c r="K2" s="30" t="s">
        <v>33</v>
      </c>
      <c r="L2" s="30" t="s">
        <v>32</v>
      </c>
      <c r="M2" s="30" t="s">
        <v>31</v>
      </c>
      <c r="N2" s="30" t="s">
        <v>30</v>
      </c>
      <c r="O2" s="30" t="s">
        <v>13</v>
      </c>
      <c r="P2" s="28" t="s">
        <v>14</v>
      </c>
      <c r="Q2" s="28" t="s">
        <v>15</v>
      </c>
      <c r="R2" s="28" t="s">
        <v>16</v>
      </c>
      <c r="S2" s="29" t="s">
        <v>17</v>
      </c>
      <c r="T2" s="28" t="s">
        <v>18</v>
      </c>
    </row>
    <row r="3" spans="1:29" ht="20.25" customHeight="1" x14ac:dyDescent="0.25">
      <c r="B3" s="24" t="s">
        <v>65</v>
      </c>
      <c r="C3" s="26">
        <v>2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1</v>
      </c>
      <c r="S3" s="23">
        <v>1</v>
      </c>
      <c r="T3" s="22">
        <f t="shared" ref="T3:T14" si="0">SUM(D3:S3)</f>
        <v>2</v>
      </c>
    </row>
    <row r="4" spans="1:29" ht="20.25" customHeight="1" x14ac:dyDescent="0.25">
      <c r="B4" s="24" t="s">
        <v>67</v>
      </c>
      <c r="C4" s="26">
        <v>3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1</v>
      </c>
      <c r="Q4" s="23">
        <v>2</v>
      </c>
      <c r="R4" s="23">
        <v>0</v>
      </c>
      <c r="S4" s="23">
        <v>0</v>
      </c>
      <c r="T4" s="22">
        <f t="shared" si="0"/>
        <v>3</v>
      </c>
    </row>
    <row r="5" spans="1:29" ht="20.25" customHeight="1" x14ac:dyDescent="0.25">
      <c r="A5" s="25"/>
      <c r="B5" s="24" t="s">
        <v>69</v>
      </c>
      <c r="C5" s="26">
        <v>3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1</v>
      </c>
      <c r="N5" s="23">
        <v>1</v>
      </c>
      <c r="O5" s="23">
        <v>1</v>
      </c>
      <c r="P5" s="23">
        <v>0</v>
      </c>
      <c r="Q5" s="23">
        <v>0</v>
      </c>
      <c r="R5" s="23">
        <v>0</v>
      </c>
      <c r="S5" s="23">
        <v>0</v>
      </c>
      <c r="T5" s="22">
        <f t="shared" si="0"/>
        <v>3</v>
      </c>
    </row>
    <row r="6" spans="1:29" ht="20.25" customHeight="1" x14ac:dyDescent="0.25">
      <c r="A6" s="25"/>
      <c r="B6" s="24" t="s">
        <v>71</v>
      </c>
      <c r="C6" s="26">
        <v>2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2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2">
        <f t="shared" si="0"/>
        <v>2</v>
      </c>
    </row>
    <row r="7" spans="1:29" ht="20.25" customHeight="1" x14ac:dyDescent="0.25">
      <c r="A7" s="25"/>
      <c r="B7" s="24" t="s">
        <v>73</v>
      </c>
      <c r="C7" s="26">
        <v>2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2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2">
        <f t="shared" si="0"/>
        <v>2</v>
      </c>
    </row>
    <row r="8" spans="1:29" ht="20.25" customHeight="1" x14ac:dyDescent="0.25">
      <c r="A8" s="25"/>
      <c r="B8" s="24" t="s">
        <v>75</v>
      </c>
      <c r="C8" s="26">
        <v>3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1</v>
      </c>
      <c r="K8" s="23">
        <v>2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2">
        <f t="shared" si="0"/>
        <v>3</v>
      </c>
    </row>
    <row r="9" spans="1:29" ht="20.25" customHeight="1" x14ac:dyDescent="0.25">
      <c r="A9" s="25"/>
      <c r="B9" s="24" t="s">
        <v>77</v>
      </c>
      <c r="C9" s="26">
        <v>2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2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2">
        <f t="shared" si="0"/>
        <v>2</v>
      </c>
    </row>
    <row r="10" spans="1:29" ht="20.25" customHeight="1" x14ac:dyDescent="0.25">
      <c r="A10" s="25"/>
      <c r="B10" s="24" t="s">
        <v>79</v>
      </c>
      <c r="C10" s="26">
        <v>2</v>
      </c>
      <c r="D10" s="23">
        <v>0</v>
      </c>
      <c r="E10" s="23">
        <v>0</v>
      </c>
      <c r="F10" s="23">
        <v>0</v>
      </c>
      <c r="G10" s="23">
        <v>0</v>
      </c>
      <c r="H10" s="23">
        <v>2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32">
        <f t="shared" si="0"/>
        <v>2</v>
      </c>
    </row>
    <row r="11" spans="1:29" ht="20.25" customHeight="1" x14ac:dyDescent="0.25">
      <c r="A11" s="25"/>
      <c r="B11" s="24" t="s">
        <v>85</v>
      </c>
      <c r="C11" s="26">
        <v>2</v>
      </c>
      <c r="D11" s="23">
        <v>0</v>
      </c>
      <c r="E11" s="23">
        <v>0</v>
      </c>
      <c r="F11" s="23">
        <v>0</v>
      </c>
      <c r="G11" s="23">
        <v>2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32">
        <f t="shared" si="0"/>
        <v>2</v>
      </c>
    </row>
    <row r="12" spans="1:29" ht="20.25" customHeight="1" x14ac:dyDescent="0.25">
      <c r="A12" s="25"/>
      <c r="B12" s="24" t="s">
        <v>87</v>
      </c>
      <c r="C12" s="26">
        <v>3</v>
      </c>
      <c r="D12" s="23">
        <v>0</v>
      </c>
      <c r="E12" s="23">
        <v>0</v>
      </c>
      <c r="F12" s="23">
        <v>3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32">
        <f t="shared" si="0"/>
        <v>3</v>
      </c>
    </row>
    <row r="13" spans="1:29" ht="20.25" customHeight="1" x14ac:dyDescent="0.25">
      <c r="A13" s="25"/>
      <c r="B13" s="24" t="s">
        <v>89</v>
      </c>
      <c r="C13" s="26">
        <v>3</v>
      </c>
      <c r="D13" s="23">
        <v>0</v>
      </c>
      <c r="E13" s="23">
        <v>3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32">
        <f t="shared" si="0"/>
        <v>3</v>
      </c>
    </row>
    <row r="14" spans="1:29" ht="20.25" customHeight="1" x14ac:dyDescent="0.25">
      <c r="A14" s="25"/>
      <c r="B14" s="24" t="s">
        <v>91</v>
      </c>
      <c r="C14" s="26">
        <v>2</v>
      </c>
      <c r="D14" s="23">
        <v>2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32">
        <f t="shared" si="0"/>
        <v>2</v>
      </c>
    </row>
    <row r="15" spans="1:29" ht="15.75" customHeight="1" x14ac:dyDescent="0.25">
      <c r="V15" s="34"/>
      <c r="W15" s="35"/>
      <c r="X15" s="35"/>
      <c r="Y15" s="35"/>
      <c r="Z15" s="35"/>
      <c r="AA15" s="35"/>
      <c r="AB15" s="35"/>
      <c r="AC15" s="36"/>
    </row>
    <row r="16" spans="1:29" ht="24.75" customHeight="1" x14ac:dyDescent="0.25">
      <c r="B16" s="21" t="s">
        <v>19</v>
      </c>
      <c r="C16" s="19">
        <f>SUM(C3:C14)</f>
        <v>29</v>
      </c>
      <c r="D16" s="19">
        <f t="shared" ref="D16:S16" si="1">C16-SUM(D3:D14)</f>
        <v>27</v>
      </c>
      <c r="E16" s="19">
        <f t="shared" si="1"/>
        <v>24</v>
      </c>
      <c r="F16" s="19">
        <f t="shared" si="1"/>
        <v>21</v>
      </c>
      <c r="G16" s="19">
        <f t="shared" si="1"/>
        <v>19</v>
      </c>
      <c r="H16" s="19">
        <f t="shared" si="1"/>
        <v>17</v>
      </c>
      <c r="I16" s="19">
        <f t="shared" si="1"/>
        <v>15</v>
      </c>
      <c r="J16" s="19">
        <f t="shared" si="1"/>
        <v>14</v>
      </c>
      <c r="K16" s="19">
        <f t="shared" si="1"/>
        <v>12</v>
      </c>
      <c r="L16" s="19">
        <f t="shared" si="1"/>
        <v>10</v>
      </c>
      <c r="M16" s="19">
        <f t="shared" si="1"/>
        <v>7</v>
      </c>
      <c r="N16" s="19">
        <f t="shared" si="1"/>
        <v>6</v>
      </c>
      <c r="O16" s="19">
        <f t="shared" si="1"/>
        <v>5</v>
      </c>
      <c r="P16" s="19">
        <f t="shared" si="1"/>
        <v>4</v>
      </c>
      <c r="Q16" s="19">
        <f t="shared" si="1"/>
        <v>2</v>
      </c>
      <c r="R16" s="19">
        <f t="shared" si="1"/>
        <v>1</v>
      </c>
      <c r="S16" s="19">
        <f t="shared" si="1"/>
        <v>0</v>
      </c>
      <c r="V16" s="37"/>
      <c r="W16" s="38"/>
      <c r="X16" s="38"/>
      <c r="Y16" s="38"/>
      <c r="Z16" s="38"/>
      <c r="AA16" s="38"/>
      <c r="AB16" s="38"/>
      <c r="AC16" s="39"/>
    </row>
    <row r="17" spans="2:19" ht="29.25" customHeight="1" x14ac:dyDescent="0.25">
      <c r="B17" s="20" t="s">
        <v>20</v>
      </c>
      <c r="C17" s="19">
        <f>SUM(C3:C14)</f>
        <v>29</v>
      </c>
      <c r="D17" s="19">
        <f>C17-(SUM(C3:C14)/16)</f>
        <v>27.1875</v>
      </c>
      <c r="E17" s="19">
        <f>D17-(SUM(C3:C14)/16)</f>
        <v>25.375</v>
      </c>
      <c r="F17" s="19">
        <f>E17-(SUM(C3:C14)/16)</f>
        <v>23.5625</v>
      </c>
      <c r="G17" s="19">
        <f>F17-(SUM(C3:C14)/16)</f>
        <v>21.75</v>
      </c>
      <c r="H17" s="19">
        <f>G17-(SUM(C3:C14)/16)</f>
        <v>19.9375</v>
      </c>
      <c r="I17" s="19">
        <f>H17-(SUM(C3:C14)/16)</f>
        <v>18.125</v>
      </c>
      <c r="J17" s="19">
        <f>I17-(SUM(C3:C14)/16)</f>
        <v>16.3125</v>
      </c>
      <c r="K17" s="19">
        <f>J17-(SUM(C3:C14)/16)</f>
        <v>14.5</v>
      </c>
      <c r="L17" s="19">
        <f>K17-(SUM(C3:C14)/16)</f>
        <v>12.6875</v>
      </c>
      <c r="M17" s="19">
        <f>L17-(SUM(C3:C14)/16)</f>
        <v>10.875</v>
      </c>
      <c r="N17" s="19">
        <f>M17-(SUM(C3:C14)/16)</f>
        <v>9.0625</v>
      </c>
      <c r="O17" s="19">
        <f>N17-(SUM(C3:C14)/16)</f>
        <v>7.25</v>
      </c>
      <c r="P17" s="19">
        <f>O17-(SUM(C3:C14)/16)</f>
        <v>5.4375</v>
      </c>
      <c r="Q17" s="19">
        <f>P17-(SUM(C3:C14)/16)</f>
        <v>3.625</v>
      </c>
      <c r="R17" s="19">
        <f>Q17-(SUM(C3:C14)/16)</f>
        <v>1.8125</v>
      </c>
      <c r="S17" s="19">
        <f>R17-(SUM(C3:C14)/16)</f>
        <v>0</v>
      </c>
    </row>
    <row r="18" spans="2:19" ht="15.75" customHeight="1" x14ac:dyDescent="0.25"/>
    <row r="19" spans="2:19" ht="15.75" customHeight="1" x14ac:dyDescent="0.25"/>
    <row r="20" spans="2:19" ht="15.75" customHeight="1" x14ac:dyDescent="0.25">
      <c r="B20" s="18" t="s">
        <v>29</v>
      </c>
    </row>
    <row r="21" spans="2:19" ht="15.75" customHeight="1" x14ac:dyDescent="0.25">
      <c r="B21" s="18" t="s">
        <v>28</v>
      </c>
    </row>
    <row r="22" spans="2:19" ht="15.75" customHeight="1" x14ac:dyDescent="0.25"/>
    <row r="23" spans="2:19" ht="15.75" customHeight="1" x14ac:dyDescent="0.25"/>
    <row r="24" spans="2:19" ht="15.75" customHeight="1" x14ac:dyDescent="0.25"/>
    <row r="25" spans="2:19" ht="15.75" customHeight="1" x14ac:dyDescent="0.25"/>
    <row r="26" spans="2:19" ht="15.75" customHeight="1" x14ac:dyDescent="0.25"/>
    <row r="27" spans="2:19" ht="15.75" customHeight="1" x14ac:dyDescent="0.25"/>
    <row r="28" spans="2:19" ht="15.75" customHeight="1" x14ac:dyDescent="0.25"/>
    <row r="29" spans="2:19" ht="15.75" customHeight="1" x14ac:dyDescent="0.25"/>
    <row r="30" spans="2:19" ht="15.75" customHeight="1" x14ac:dyDescent="0.25"/>
    <row r="31" spans="2:19" ht="15.75" customHeight="1" x14ac:dyDescent="0.25"/>
    <row r="32" spans="2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1">
    <mergeCell ref="V15:AC16"/>
  </mergeCells>
  <phoneticPr fontId="12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2023-06-05T13:12:31Z</dcterms:created>
  <dcterms:modified xsi:type="dcterms:W3CDTF">2026-01-04T02:21:44Z</dcterms:modified>
</cp:coreProperties>
</file>