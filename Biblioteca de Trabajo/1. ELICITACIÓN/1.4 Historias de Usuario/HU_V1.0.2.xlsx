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ner\Desktop\Github\27837_G1_ADS\Biblioteca de Trabajo\1. ELICITACIÓN\1.4 Historias de Usuario\"/>
    </mc:Choice>
  </mc:AlternateContent>
  <xr:revisionPtr revIDLastSave="0" documentId="13_ncr:1_{EE9A07AA-53EE-4B24-AD8F-D0EB02694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zqQjEeih5K8NWczfqLGaZHv5HRqGCKJmm/RpsPz/4HQ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<sst xmlns="http://schemas.openxmlformats.org/spreadsheetml/2006/main" count="114" uniqueCount="90">
  <si>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</si>
  <si>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</si>
  <si>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</si>
  <si>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</si>
  <si>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</si>
  <si>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</si>
  <si>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</si>
  <si>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</si>
  <si>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</si>
  <si>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</si>
  <si>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</si>
  <si>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</si>
  <si>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</si>
  <si>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</si>
  <si>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</si>
  <si>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</si>
  <si>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El usuario no tiene forma de registrar nuevos medicamentos.</t>
  </si>
  <si>
    <t>Crear un medicamento con todos sus datos.</t>
  </si>
  <si>
    <t>Para iniciar la gestión y control del tratamiento.</t>
  </si>
  <si>
    <t>Usuario adulto mayor / Cuidador</t>
  </si>
  <si>
    <t>Ingresar nombre, presentación, dosis, frecuencia, horario, duración, notas e ícono.</t>
  </si>
  <si>
    <t>Marcelo Acuña</t>
  </si>
  <si>
    <t>Alta</t>
  </si>
  <si>
    <t>No iniciado</t>
  </si>
  <si>
    <t>Validación de campos obligatorios y mensaje “Medicamento registrado exitosamente”.</t>
  </si>
  <si>
    <t>CRUD - Crear</t>
  </si>
  <si>
    <t>Crear medicamento</t>
  </si>
  <si>
    <t>RF02</t>
  </si>
  <si>
    <t>El usuario no puede ver la información de los medicamentos que registró.</t>
  </si>
  <si>
    <t>Consultar la lista de medicamentos.</t>
  </si>
  <si>
    <t>Para revisar rápidamente horarios, dosis y próximas tomas.</t>
  </si>
  <si>
    <t>Mostrar lista con nombre, dosis, frecuencia, ícono y detalles.</t>
  </si>
  <si>
    <t>Se muestra la lista completa y coincide con la base registrada.</t>
  </si>
  <si>
    <t>CRUD - Leer</t>
  </si>
  <si>
    <t>Consultar medicamentos</t>
  </si>
  <si>
    <t>RF03</t>
  </si>
  <si>
    <t>El usuario no puede corregir ni actualizar medicamentos ya registrados.</t>
  </si>
  <si>
    <t>Editar datos de un medicamento existente.</t>
  </si>
  <si>
    <t>Para mantener la información actualizada y evitar errores.</t>
  </si>
  <si>
    <t>Seleccionar medicamento, modificar campos y guardar cambios.</t>
  </si>
  <si>
    <t>Datos actualizados visibles; mensaje “Cambios guardados correctamente”.</t>
  </si>
  <si>
    <t>CRUD - Actualizar</t>
  </si>
  <si>
    <t>Editar medicamento</t>
  </si>
  <si>
    <t>RF04</t>
  </si>
  <si>
    <t>Medicamentos que ya no se usan siguen apareciendo en el sistema.</t>
  </si>
  <si>
    <t>Eliminar un medicamento registrado.</t>
  </si>
  <si>
    <t>Para limpiar la lista y evitar confusiones.</t>
  </si>
  <si>
    <t>Seleccionar medicamento, elegir “Eliminar”, confirmar acción.</t>
  </si>
  <si>
    <t>0.5</t>
  </si>
  <si>
    <t>El registro desaparece y se muestra mensaje “Eliminado correctamente”.</t>
  </si>
  <si>
    <t>CRUD - Eliminar</t>
  </si>
  <si>
    <t>Eliminar medicamento</t>
  </si>
  <si>
    <t>RF05</t>
  </si>
  <si>
    <t>El usuario olvida tomar la medicación a tiempo.</t>
  </si>
  <si>
    <t>Generar recordatorios automáticos con alertas visuales, sonoras y por vibración.</t>
  </si>
  <si>
    <t>Para garantizar la adherencia al tratamiento médico.</t>
  </si>
  <si>
    <t>Usuario adulto mayor</t>
  </si>
  <si>
    <t>El sistema genera una alerta a la hora programada; el usuario marca como tomada, pospone o indica omisión.</t>
  </si>
  <si>
    <t>Se comprueba que la notificación aparezca incluso con la pantalla bloqueada y persista hasta acción del usuario.</t>
  </si>
  <si>
    <t>Vital para la adherencia al tratamiento.</t>
  </si>
  <si>
    <t>Recordatorios de medicación</t>
  </si>
  <si>
    <t>RF06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</si>
  <si>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</si>
  <si>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</si>
  <si>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</si>
  <si>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</si>
  <si>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</si>
  <si>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</si>
  <si>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</si>
  <si>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</si>
  <si>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</si>
  <si>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</si>
  <si>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RF07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</si>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</sst>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7" fillId="7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9" borderId="12" xfId="0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6"/>
  <sheetViews>
    <sheetView showGridLines="0" tabSelected="1" topLeftCell="A7" zoomScale="70" zoomScaleNormal="70" workbookViewId="0">
      <selection activeCell="I22" sqref="I22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25">
      <c r="A6" s="1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45778</v>
      </c>
      <c r="J6" s="7">
        <v>45979</v>
      </c>
      <c r="K6" s="8" t="s">
        <v>22</v>
      </c>
      <c r="L6" s="6" t="s">
        <v>23</v>
      </c>
      <c r="M6" s="9" t="s">
        <v>24</v>
      </c>
      <c r="N6" s="6" t="s">
        <v>25</v>
      </c>
      <c r="O6" s="6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25">
      <c r="A7" s="1"/>
      <c r="B7" s="5" t="s">
        <v>27</v>
      </c>
      <c r="C7" s="6" t="s">
        <v>28</v>
      </c>
      <c r="D7" s="6" t="s">
        <v>29</v>
      </c>
      <c r="E7" s="6" t="s">
        <v>30</v>
      </c>
      <c r="F7" s="6" t="s">
        <v>19</v>
      </c>
      <c r="G7" s="6" t="s">
        <v>31</v>
      </c>
      <c r="H7" s="6" t="s">
        <v>21</v>
      </c>
      <c r="I7" s="6">
        <v>1</v>
      </c>
      <c r="J7" s="7">
        <v>45980</v>
      </c>
      <c r="K7" s="8" t="s">
        <v>22</v>
      </c>
      <c r="L7" s="6" t="s">
        <v>23</v>
      </c>
      <c r="M7" s="9" t="s">
        <v>32</v>
      </c>
      <c r="N7" s="6" t="s">
        <v>33</v>
      </c>
      <c r="O7" s="6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 x14ac:dyDescent="0.25">
      <c r="A8" s="1"/>
      <c r="B8" s="5" t="s">
        <v>35</v>
      </c>
      <c r="C8" s="6" t="s">
        <v>36</v>
      </c>
      <c r="D8" s="6" t="s">
        <v>37</v>
      </c>
      <c r="E8" s="6" t="s">
        <v>38</v>
      </c>
      <c r="F8" s="6" t="s">
        <v>19</v>
      </c>
      <c r="G8" s="6" t="s">
        <v>39</v>
      </c>
      <c r="H8" s="6" t="s">
        <v>21</v>
      </c>
      <c r="I8" s="6">
        <v>45778</v>
      </c>
      <c r="J8" s="7">
        <v>45981</v>
      </c>
      <c r="K8" s="8" t="s">
        <v>22</v>
      </c>
      <c r="L8" s="6" t="s">
        <v>23</v>
      </c>
      <c r="M8" s="9" t="s">
        <v>40</v>
      </c>
      <c r="N8" s="6" t="s">
        <v>41</v>
      </c>
      <c r="O8" s="6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25">
      <c r="A9" s="1"/>
      <c r="B9" s="5" t="s">
        <v>43</v>
      </c>
      <c r="C9" s="6" t="s">
        <v>44</v>
      </c>
      <c r="D9" s="6" t="s">
        <v>45</v>
      </c>
      <c r="E9" s="6" t="s">
        <v>46</v>
      </c>
      <c r="F9" s="6" t="s">
        <v>19</v>
      </c>
      <c r="G9" s="6" t="s">
        <v>47</v>
      </c>
      <c r="H9" s="6" t="s">
        <v>21</v>
      </c>
      <c r="I9" s="6" t="s">
        <v>48</v>
      </c>
      <c r="J9" s="7">
        <v>45982</v>
      </c>
      <c r="K9" s="8" t="s">
        <v>22</v>
      </c>
      <c r="L9" s="6" t="s">
        <v>23</v>
      </c>
      <c r="M9" s="9" t="s">
        <v>49</v>
      </c>
      <c r="N9" s="6" t="s">
        <v>50</v>
      </c>
      <c r="O9" s="6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 x14ac:dyDescent="0.25">
      <c r="A10" s="1"/>
      <c r="B10" s="5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21</v>
      </c>
      <c r="I10" s="6">
        <v>5</v>
      </c>
      <c r="J10" s="7">
        <v>45983</v>
      </c>
      <c r="K10" s="8" t="s">
        <v>22</v>
      </c>
      <c r="L10" s="6" t="s">
        <v>23</v>
      </c>
      <c r="M10" s="9" t="s">
        <v>58</v>
      </c>
      <c r="N10" s="6" t="s">
        <v>59</v>
      </c>
      <c r="O10" s="6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5.75" customHeight="1" x14ac:dyDescent="0.25">
      <c r="A11" s="1"/>
      <c r="B11" s="5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  <c r="H11" s="6" t="s">
        <v>67</v>
      </c>
      <c r="I11" s="6">
        <v>3</v>
      </c>
      <c r="J11" s="7">
        <v>45984</v>
      </c>
      <c r="K11" s="8" t="s">
        <v>68</v>
      </c>
      <c r="L11" s="6" t="s">
        <v>23</v>
      </c>
      <c r="M11" s="9" t="s">
        <v>69</v>
      </c>
      <c r="N11" s="6" t="s">
        <v>70</v>
      </c>
      <c r="O11" s="6" t="s">
        <v>71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5" customHeight="1" x14ac:dyDescent="0.25">
      <c r="A12" s="1"/>
      <c r="B12" s="5" t="s">
        <v>72</v>
      </c>
      <c r="C12" s="6" t="s">
        <v>73</v>
      </c>
      <c r="D12" s="6" t="s">
        <v>74</v>
      </c>
      <c r="E12" s="6" t="s">
        <v>75</v>
      </c>
      <c r="F12" s="6" t="s">
        <v>19</v>
      </c>
      <c r="G12" s="6" t="s">
        <v>76</v>
      </c>
      <c r="H12" s="6" t="s">
        <v>77</v>
      </c>
      <c r="I12" s="6">
        <v>3</v>
      </c>
      <c r="J12" s="7">
        <v>45985</v>
      </c>
      <c r="K12" s="8" t="s">
        <v>68</v>
      </c>
      <c r="L12" s="6" t="s">
        <v>23</v>
      </c>
      <c r="M12" s="9" t="s">
        <v>78</v>
      </c>
      <c r="N12" s="6" t="s">
        <v>79</v>
      </c>
      <c r="O12" s="6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5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">
    <mergeCell ref="B3:O3"/>
  </mergeCells>
  <conditionalFormatting sqref="L17:L20 L6:L12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">
    <cfRule type="colorScale" priority="3">
      <colorScale>
        <cfvo type="min"/>
        <cfvo type="max"/>
        <color rgb="FF57BB8A"/>
        <color rgb="FFFFFFFF"/>
      </colorScale>
    </cfRule>
  </conditionalFormatting>
  <conditionalFormatting sqref="L6:L9">
    <cfRule type="colorScale" priority="6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0:L12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opLeftCell="A9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0"/>
      <c r="D4" s="10"/>
      <c r="E4" s="10"/>
      <c r="F4" s="11"/>
    </row>
    <row r="5" spans="1:26" ht="14.4" hidden="1" x14ac:dyDescent="0.3">
      <c r="C5" s="10"/>
      <c r="D5" s="10"/>
      <c r="E5" s="10"/>
      <c r="F5" s="11"/>
    </row>
    <row r="6" spans="1:26" ht="39.75" customHeight="1" x14ac:dyDescent="0.25">
      <c r="B6" s="69" t="s">
        <v>81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5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3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5">
      <c r="B9" s="19"/>
      <c r="C9" s="20" t="s">
        <v>1</v>
      </c>
      <c r="D9" s="21"/>
      <c r="E9" s="52" t="s">
        <v>82</v>
      </c>
      <c r="F9" s="36"/>
      <c r="G9" s="21"/>
      <c r="H9" s="52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5">
      <c r="B10" s="19"/>
      <c r="C10" s="24" t="s">
        <v>72</v>
      </c>
      <c r="D10" s="25"/>
      <c r="E10" s="70" t="str">
        <f>VLOOKUP(C10,'Formato descripción HU'!B6:O12,5,0)</f>
        <v>Usuario adulto mayor / Cuidador</v>
      </c>
      <c r="F10" s="71"/>
      <c r="G10" s="26"/>
      <c r="H10" s="53" t="str">
        <f>VLOOKUP(C10,'Formato descripción HU'!B6:O12,11,0)</f>
        <v>No iniciado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5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5">
      <c r="A12" s="12"/>
      <c r="B12" s="19"/>
      <c r="C12" s="20" t="s">
        <v>83</v>
      </c>
      <c r="D12" s="25"/>
      <c r="E12" s="52" t="s">
        <v>10</v>
      </c>
      <c r="F12" s="36"/>
      <c r="G12" s="26"/>
      <c r="H12" s="52" t="s">
        <v>84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5">
      <c r="A13" s="12"/>
      <c r="B13" s="19"/>
      <c r="C13" s="29">
        <f>VLOOKUP('Historia de Usuario'!C10,'Formato descripción HU'!B6:O12,8,0)</f>
        <v>3</v>
      </c>
      <c r="D13" s="25"/>
      <c r="E13" s="53" t="str">
        <f>VLOOKUP(C10,'Formato descripción HU'!B6:O12,10,0)</f>
        <v>Media</v>
      </c>
      <c r="F13" s="36"/>
      <c r="G13" s="26"/>
      <c r="H13" s="53" t="str">
        <f>VLOOKUP(C10,'Formato descripción HU'!B6:O12,7,0)</f>
        <v>Christian Bonifaz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5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5">
      <c r="A15" s="12"/>
      <c r="B15" s="19"/>
      <c r="C15" s="54" t="s">
        <v>85</v>
      </c>
      <c r="D15" s="43" t="str">
        <f>VLOOKUP(C10,'Formato descripción HU'!B6:O12,3,0)</f>
        <v>Registrar síntomas asociados a medicamentos.</v>
      </c>
      <c r="E15" s="38"/>
      <c r="F15" s="30"/>
      <c r="G15" s="54" t="s">
        <v>86</v>
      </c>
      <c r="H15" s="43" t="str">
        <f>VLOOKUP(C10,'Formato descripción HU'!B6:O12,4,0)</f>
        <v>Para monitorear la evolución del tratamiento y posibles reacciones adversas.</v>
      </c>
      <c r="I15" s="57"/>
      <c r="J15" s="38"/>
      <c r="K15" s="30"/>
      <c r="L15" s="54" t="s">
        <v>87</v>
      </c>
      <c r="M15" s="60" t="str">
        <f>VLOOKUP(C10,'Formato descripción HU'!B6:O12,6,0)</f>
        <v>Seleccionar medicamento, ingresar tipo, intensidad, frecuencia y notas del síntoma.</v>
      </c>
      <c r="N15" s="44"/>
      <c r="O15" s="45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5">
      <c r="A16" s="12"/>
      <c r="B16" s="19"/>
      <c r="C16" s="55"/>
      <c r="D16" s="39"/>
      <c r="E16" s="40"/>
      <c r="F16" s="30"/>
      <c r="G16" s="55"/>
      <c r="H16" s="39"/>
      <c r="I16" s="58"/>
      <c r="J16" s="40"/>
      <c r="K16" s="30"/>
      <c r="L16" s="55"/>
      <c r="M16" s="46"/>
      <c r="N16" s="47"/>
      <c r="O16" s="48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5">
      <c r="A17" s="12"/>
      <c r="B17" s="19"/>
      <c r="C17" s="56"/>
      <c r="D17" s="41"/>
      <c r="E17" s="42"/>
      <c r="F17" s="30"/>
      <c r="G17" s="56"/>
      <c r="H17" s="41"/>
      <c r="I17" s="59"/>
      <c r="J17" s="42"/>
      <c r="K17" s="30"/>
      <c r="L17" s="56"/>
      <c r="M17" s="49"/>
      <c r="N17" s="50"/>
      <c r="O17" s="51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5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5">
      <c r="B19" s="19"/>
      <c r="C19" s="67" t="s">
        <v>88</v>
      </c>
      <c r="D19" s="38"/>
      <c r="E19" s="61" t="str">
        <f>VLOOKUP(C10,'Formato descripción HU'!B6:O12,14,0)</f>
        <v>Seguimiento de síntomas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23"/>
      <c r="Q19" s="12"/>
    </row>
    <row r="20" spans="1:26" ht="19.5" customHeight="1" x14ac:dyDescent="0.25">
      <c r="B20" s="19"/>
      <c r="C20" s="41"/>
      <c r="D20" s="42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23"/>
      <c r="Q20" s="12"/>
    </row>
    <row r="21" spans="1:26" ht="9.75" customHeight="1" x14ac:dyDescent="0.25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5">
      <c r="A22" s="12"/>
      <c r="B22" s="19"/>
      <c r="C22" s="37" t="s">
        <v>89</v>
      </c>
      <c r="D22" s="38"/>
      <c r="E22" s="68" t="str">
        <f>VLOOKUP(C10,'Formato descripción HU'!B6:O12,12,0)</f>
        <v>Se guarda el síntoma y se muestra en el historial asociado al medicamento.</v>
      </c>
      <c r="F22" s="44"/>
      <c r="G22" s="44"/>
      <c r="H22" s="45"/>
      <c r="I22" s="22"/>
      <c r="J22" s="37" t="s">
        <v>13</v>
      </c>
      <c r="K22" s="38"/>
      <c r="L22" s="43" t="str">
        <f>VLOOKUP(C10,'Formato descripción HU'!B6:O12,13,0)</f>
        <v>Puede incluir íconos o categorías visuales.</v>
      </c>
      <c r="M22" s="44"/>
      <c r="N22" s="44"/>
      <c r="O22" s="45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5">
      <c r="A23" s="12"/>
      <c r="B23" s="19"/>
      <c r="C23" s="39"/>
      <c r="D23" s="40"/>
      <c r="E23" s="46"/>
      <c r="F23" s="47"/>
      <c r="G23" s="47"/>
      <c r="H23" s="48"/>
      <c r="I23" s="22"/>
      <c r="J23" s="39"/>
      <c r="K23" s="40"/>
      <c r="L23" s="46"/>
      <c r="M23" s="47"/>
      <c r="N23" s="47"/>
      <c r="O23" s="48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5">
      <c r="A24" s="12"/>
      <c r="B24" s="19"/>
      <c r="C24" s="41"/>
      <c r="D24" s="42"/>
      <c r="E24" s="49"/>
      <c r="F24" s="50"/>
      <c r="G24" s="50"/>
      <c r="H24" s="51"/>
      <c r="I24" s="22"/>
      <c r="J24" s="41"/>
      <c r="K24" s="42"/>
      <c r="L24" s="49"/>
      <c r="M24" s="50"/>
      <c r="N24" s="50"/>
      <c r="O24" s="51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5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5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5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5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5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5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ABNER DAVID ARBOLEDA ROMAN</cp:lastModifiedBy>
  <dcterms:created xsi:type="dcterms:W3CDTF">2025-11-11T12:29:14Z</dcterms:created>
  <dcterms:modified xsi:type="dcterms:W3CDTF">2026-01-20T22:05:00Z</dcterms:modified>
</cp:coreProperties>
</file>