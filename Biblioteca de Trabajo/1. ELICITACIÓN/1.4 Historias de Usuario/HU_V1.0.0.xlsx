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ner\Desktop\Github\27837_G1_ADS\Biblioteca de Trabajo\1. ELICITACIÓN\1.4 Historias de Usuario\"/>
    </mc:Choice>
  </mc:AlternateContent>
  <xr:revisionPtr revIDLastSave="0" documentId="13_ncr:1_{8577EE77-5EFA-42E5-B073-517DD0482A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dyizzRkkwcblVR9ZrNviAim9gEVYFdPqGnZTU6oXUKU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<sst xmlns="http://schemas.openxmlformats.org/spreadsheetml/2006/main" count="89" uniqueCount="74">
  <si>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</si>
  <si>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</si>
  <si>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</si>
  <si>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</si>
  <si>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</si>
  <si>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</si>
  <si>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</si>
  <si>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</si>
  <si>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</si>
  <si>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</si>
  <si>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</si>
  <si>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</si>
  <si>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</si>
  <si>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</si>
  <si>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</si>
  <si>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RF01</t>
  </si>
  <si>
    <t>Los usuarios no pueden registrar ni controlar sus medicamentos.</t>
  </si>
  <si>
    <t>Permitir registrar, editar y eliminar medicamentos.</t>
  </si>
  <si>
    <t>Para que los adultos mayores puedan administrar su medicación y mantener un historial organizado.</t>
  </si>
  <si>
    <t>Usuario adulto mayor / Cuidador</t>
  </si>
  <si>
    <t>Ingresar nombre, dosis, frecuencia, duración, notas y configurar recordatorios e íconos.</t>
  </si>
  <si>
    <t>Marcelo Acuña</t>
  </si>
  <si>
    <t>Alta</t>
  </si>
  <si>
    <t>No iniciado</t>
  </si>
  <si>
    <t>Se valida que los campos sean obligatorios y se confirme el mensaje “Medicamento guardado exitosamente”.</t>
  </si>
  <si>
    <t>Requisito base del sistema.</t>
  </si>
  <si>
    <t>Gestión de medicamentos</t>
  </si>
  <si>
    <t>RF02</t>
  </si>
  <si>
    <t>El usuario olvida tomar la medicación a tiempo.</t>
  </si>
  <si>
    <t>Generar recordatorios automáticos con alertas visuales, sonoras y por vibración.</t>
  </si>
  <si>
    <t>Para garantizar la adherencia al tratamiento médico.</t>
  </si>
  <si>
    <t>Usuario adulto mayor</t>
  </si>
  <si>
    <t>El sistema genera una alerta a la hora programada; el usuario marca como tomada, pospone o indica omisión.</t>
  </si>
  <si>
    <t>Se comprueba que la notificación aparezca incluso con la pantalla bloqueada y persista hasta acción del usuario.</t>
  </si>
  <si>
    <t>Vital para la adherencia al tratamiento.</t>
  </si>
  <si>
    <t>Recordatorios de medicación</t>
  </si>
  <si>
    <t>RF03</t>
  </si>
  <si>
    <t>No hay un registro consolidado del historial de tomas.</t>
  </si>
  <si>
    <t>Registrar eventos (tomado, omitido, pospuesto) y generar informes.</t>
  </si>
  <si>
    <t>Para que el usuario o cuidador puedan visualizar y compartir el historial.</t>
  </si>
  <si>
    <t>Cuidador / Profesional de salud</t>
  </si>
  <si>
    <t>Generar reportes PDF con fecha, hora y motivo de cada acción.</t>
  </si>
  <si>
    <t>Abner Arboleda</t>
  </si>
  <si>
    <t>Media</t>
  </si>
  <si>
    <t>Se genera un PDF y se verifica que todos los eventos estén listados correctamente.</t>
  </si>
  <si>
    <t>Compatible con exportación a Excel.</t>
  </si>
  <si>
    <t>Informes de historial de medicación</t>
  </si>
  <si>
    <t>RF04</t>
  </si>
  <si>
    <t>El usuario no tiene seguimiento de síntomas o efectos secundarios.</t>
  </si>
  <si>
    <t>Registrar síntomas asociados a medicamentos.</t>
  </si>
  <si>
    <t>Para monitorear la evolución del tratamiento y posibles reacciones adversas.</t>
  </si>
  <si>
    <t>Seleccionar medicamento, ingresar tipo, intensidad, frecuencia y notas del síntoma.</t>
  </si>
  <si>
    <t>Christian Bonifaz</t>
  </si>
  <si>
    <t>Se guarda el síntoma y se muestra en el historial asociado al medicamento.</t>
  </si>
  <si>
    <t>Puede incluir íconos o categorías visuales.</t>
  </si>
  <si>
    <t>Seguimiento de síntomas</t>
  </si>
  <si>
    <t>RF05</t>
  </si>
  <si>
    <t>El cuidador gestiona varios pacientes y no puede separar información.</t>
  </si>
  <si>
    <t>Gestionar múltiples perfiles de usuario.</t>
  </si>
  <si>
    <t>Para administrar distintos pacientes dentro de la misma aplicación.</t>
  </si>
  <si>
    <t>Cuidador</t>
  </si>
  <si>
    <t>Crear, editar o eliminar perfiles con historiales independientes.</t>
  </si>
  <si>
    <t>Se crean y consultan perfiles distintos verificando independencia de datos.</t>
  </si>
  <si>
    <t>Facilita el trabajo de cuidadores.</t>
  </si>
  <si>
    <t>Gestión de perfiles múltiples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</si>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</sst>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9" fillId="5" borderId="5" xfId="0" applyFont="1" applyFill="1" applyBorder="1"/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10" fillId="6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vertical="center"/>
    </xf>
    <xf numFmtId="0" fontId="9" fillId="5" borderId="9" xfId="0" applyFont="1" applyFill="1" applyBorder="1"/>
    <xf numFmtId="0" fontId="9" fillId="5" borderId="10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28" xfId="0" applyFont="1" applyFill="1" applyBorder="1"/>
    <xf numFmtId="0" fontId="9" fillId="5" borderId="29" xfId="0" applyFont="1" applyFill="1" applyBorder="1"/>
    <xf numFmtId="0" fontId="9" fillId="5" borderId="30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3" fillId="9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0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7" fillId="7" borderId="12" xfId="0" applyNumberFormat="1" applyFont="1" applyFill="1" applyBorder="1" applyAlignment="1">
      <alignment horizontal="left" vertical="center"/>
    </xf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7" fillId="7" borderId="12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4"/>
  <sheetViews>
    <sheetView showGridLines="0" tabSelected="1" topLeftCell="A10" workbookViewId="0">
      <selection activeCell="I17" sqref="I17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5" width="20.59765625" customWidth="1"/>
    <col min="6" max="6" width="13.09765625" customWidth="1"/>
    <col min="7" max="7" width="32.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 x14ac:dyDescent="0.25">
      <c r="A6" s="1"/>
      <c r="B6" s="5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4</v>
      </c>
      <c r="J6" s="7">
        <v>45870</v>
      </c>
      <c r="K6" s="8" t="s">
        <v>22</v>
      </c>
      <c r="L6" s="6" t="s">
        <v>23</v>
      </c>
      <c r="M6" s="9" t="s">
        <v>24</v>
      </c>
      <c r="N6" s="6" t="s">
        <v>25</v>
      </c>
      <c r="O6" s="6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 x14ac:dyDescent="0.25">
      <c r="A7" s="1"/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21</v>
      </c>
      <c r="I7" s="6">
        <v>5</v>
      </c>
      <c r="J7" s="7">
        <v>45870</v>
      </c>
      <c r="K7" s="8" t="s">
        <v>22</v>
      </c>
      <c r="L7" s="6" t="s">
        <v>23</v>
      </c>
      <c r="M7" s="9" t="s">
        <v>33</v>
      </c>
      <c r="N7" s="6" t="s">
        <v>34</v>
      </c>
      <c r="O7" s="6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 x14ac:dyDescent="0.25">
      <c r="A8" s="1"/>
      <c r="B8" s="5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41</v>
      </c>
      <c r="H8" s="6" t="s">
        <v>42</v>
      </c>
      <c r="I8" s="6">
        <v>3</v>
      </c>
      <c r="J8" s="7">
        <v>45870</v>
      </c>
      <c r="K8" s="8" t="s">
        <v>43</v>
      </c>
      <c r="L8" s="6" t="s">
        <v>23</v>
      </c>
      <c r="M8" s="9" t="s">
        <v>44</v>
      </c>
      <c r="N8" s="6" t="s">
        <v>45</v>
      </c>
      <c r="O8" s="6" t="s">
        <v>46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4.5" customHeight="1" x14ac:dyDescent="0.25">
      <c r="A9" s="1"/>
      <c r="B9" s="5" t="s">
        <v>47</v>
      </c>
      <c r="C9" s="6" t="s">
        <v>48</v>
      </c>
      <c r="D9" s="6" t="s">
        <v>49</v>
      </c>
      <c r="E9" s="6" t="s">
        <v>50</v>
      </c>
      <c r="F9" s="6" t="s">
        <v>19</v>
      </c>
      <c r="G9" s="6" t="s">
        <v>51</v>
      </c>
      <c r="H9" s="6" t="s">
        <v>52</v>
      </c>
      <c r="I9" s="6">
        <v>3</v>
      </c>
      <c r="J9" s="7">
        <v>45870</v>
      </c>
      <c r="K9" s="8" t="s">
        <v>43</v>
      </c>
      <c r="L9" s="6" t="s">
        <v>23</v>
      </c>
      <c r="M9" s="9" t="s">
        <v>53</v>
      </c>
      <c r="N9" s="6" t="s">
        <v>54</v>
      </c>
      <c r="O9" s="6" t="s">
        <v>55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25">
      <c r="A10" s="1"/>
      <c r="B10" s="5" t="s">
        <v>56</v>
      </c>
      <c r="C10" s="6" t="s">
        <v>57</v>
      </c>
      <c r="D10" s="6" t="s">
        <v>58</v>
      </c>
      <c r="E10" s="6" t="s">
        <v>59</v>
      </c>
      <c r="F10" s="6" t="s">
        <v>60</v>
      </c>
      <c r="G10" s="6" t="s">
        <v>61</v>
      </c>
      <c r="H10" s="6" t="s">
        <v>21</v>
      </c>
      <c r="I10" s="6">
        <v>4</v>
      </c>
      <c r="J10" s="7">
        <v>45870</v>
      </c>
      <c r="K10" s="8" t="s">
        <v>43</v>
      </c>
      <c r="L10" s="6" t="s">
        <v>23</v>
      </c>
      <c r="M10" s="9" t="s">
        <v>62</v>
      </c>
      <c r="N10" s="6" t="s">
        <v>63</v>
      </c>
      <c r="O10" s="6" t="s">
        <v>64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5">
      <c r="A11" s="1"/>
      <c r="B11" s="1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5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2"/>
      <c r="J15" s="2"/>
      <c r="K15" s="3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2"/>
      <c r="J16" s="2"/>
      <c r="K16" s="3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2"/>
      <c r="J17" s="2"/>
      <c r="K17" s="3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2"/>
      <c r="J18" s="2"/>
      <c r="K18" s="3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3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3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/>
    <row r="212" spans="1:26" ht="15.75" customHeight="1" x14ac:dyDescent="0.25"/>
    <row r="213" spans="1:26" ht="15.75" customHeight="1" x14ac:dyDescent="0.25"/>
    <row r="214" spans="1:26" ht="15.75" customHeight="1" x14ac:dyDescent="0.25"/>
    <row r="215" spans="1:26" ht="15.75" customHeight="1" x14ac:dyDescent="0.25"/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mergeCells count="1">
    <mergeCell ref="B3:O3"/>
  </mergeCells>
  <conditionalFormatting sqref="L9">
    <cfRule type="colorScale" priority="3">
      <colorScale>
        <cfvo type="min"/>
        <cfvo type="max"/>
        <color rgb="FF57BB8A"/>
        <color rgb="FFFFFFFF"/>
      </colorScale>
    </cfRule>
  </conditionalFormatting>
  <conditionalFormatting sqref="L6:L10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6:L10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/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0"/>
      <c r="D4" s="10"/>
      <c r="E4" s="10"/>
      <c r="F4" s="11"/>
    </row>
    <row r="5" spans="1:26" ht="14.4" hidden="1" x14ac:dyDescent="0.3">
      <c r="C5" s="10"/>
      <c r="D5" s="10"/>
      <c r="E5" s="10"/>
      <c r="F5" s="11"/>
    </row>
    <row r="6" spans="1:26" ht="39.75" customHeight="1" x14ac:dyDescent="0.25">
      <c r="B6" s="37" t="s">
        <v>65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26" ht="9.75" customHeight="1" x14ac:dyDescent="0.25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9.75" customHeight="1" x14ac:dyDescent="0.3">
      <c r="B8" s="14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8"/>
      <c r="Q8" s="12"/>
    </row>
    <row r="9" spans="1:26" ht="30" customHeight="1" x14ac:dyDescent="0.25">
      <c r="B9" s="19"/>
      <c r="C9" s="20" t="s">
        <v>1</v>
      </c>
      <c r="D9" s="21"/>
      <c r="E9" s="38" t="s">
        <v>66</v>
      </c>
      <c r="F9" s="36"/>
      <c r="G9" s="21"/>
      <c r="H9" s="38" t="s">
        <v>11</v>
      </c>
      <c r="I9" s="36"/>
      <c r="J9" s="22"/>
      <c r="K9" s="22"/>
      <c r="L9" s="22"/>
      <c r="M9" s="22"/>
      <c r="N9" s="22"/>
      <c r="O9" s="22"/>
      <c r="P9" s="23"/>
      <c r="Q9" s="12"/>
    </row>
    <row r="10" spans="1:26" ht="30" customHeight="1" x14ac:dyDescent="0.25">
      <c r="B10" s="19"/>
      <c r="C10" s="24" t="s">
        <v>27</v>
      </c>
      <c r="D10" s="25"/>
      <c r="E10" s="39" t="str">
        <f>VLOOKUP(C10,'Formato descripción HU'!B6:O10,5,0)</f>
        <v>Usuario adulto mayor</v>
      </c>
      <c r="F10" s="36"/>
      <c r="G10" s="26"/>
      <c r="H10" s="39" t="str">
        <f>VLOOKUP(C10,'Formato descripción HU'!B6:O10,11,0)</f>
        <v>No iniciado</v>
      </c>
      <c r="I10" s="36"/>
      <c r="J10" s="26"/>
      <c r="K10" s="22"/>
      <c r="L10" s="22"/>
      <c r="M10" s="22"/>
      <c r="N10" s="22"/>
      <c r="O10" s="22"/>
      <c r="P10" s="23"/>
      <c r="Q10" s="12"/>
    </row>
    <row r="11" spans="1:26" ht="9.75" customHeight="1" x14ac:dyDescent="0.25">
      <c r="A11" s="12"/>
      <c r="B11" s="19"/>
      <c r="C11" s="27"/>
      <c r="D11" s="25"/>
      <c r="E11" s="28"/>
      <c r="F11" s="28"/>
      <c r="G11" s="26"/>
      <c r="H11" s="28"/>
      <c r="I11" s="28"/>
      <c r="J11" s="26"/>
      <c r="K11" s="28"/>
      <c r="L11" s="28"/>
      <c r="M11" s="22"/>
      <c r="N11" s="28"/>
      <c r="O11" s="28"/>
      <c r="P11" s="2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25">
      <c r="A12" s="12"/>
      <c r="B12" s="19"/>
      <c r="C12" s="20" t="s">
        <v>67</v>
      </c>
      <c r="D12" s="25"/>
      <c r="E12" s="38" t="s">
        <v>10</v>
      </c>
      <c r="F12" s="36"/>
      <c r="G12" s="26"/>
      <c r="H12" s="38" t="s">
        <v>68</v>
      </c>
      <c r="I12" s="36"/>
      <c r="J12" s="26"/>
      <c r="K12" s="28"/>
      <c r="L12" s="28"/>
      <c r="M12" s="22"/>
      <c r="N12" s="28"/>
      <c r="O12" s="28"/>
      <c r="P12" s="2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25">
      <c r="A13" s="12"/>
      <c r="B13" s="19"/>
      <c r="C13" s="29">
        <f>VLOOKUP('Historia de Usuario'!C10,'Formato descripción HU'!B6:O10,8,0)</f>
        <v>5</v>
      </c>
      <c r="D13" s="25"/>
      <c r="E13" s="39" t="str">
        <f>VLOOKUP(C10,'Formato descripción HU'!B6:O10,10,0)</f>
        <v>Alta</v>
      </c>
      <c r="F13" s="36"/>
      <c r="G13" s="26"/>
      <c r="H13" s="39" t="str">
        <f>VLOOKUP(C10,'Formato descripción HU'!B6:O10,7,0)</f>
        <v>Marcelo Acuña</v>
      </c>
      <c r="I13" s="36"/>
      <c r="J13" s="26"/>
      <c r="K13" s="28"/>
      <c r="L13" s="28"/>
      <c r="M13" s="22"/>
      <c r="N13" s="28"/>
      <c r="O13" s="28"/>
      <c r="P13" s="2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.75" customHeight="1" x14ac:dyDescent="0.25">
      <c r="A14" s="12"/>
      <c r="B14" s="19"/>
      <c r="C14" s="22"/>
      <c r="D14" s="25"/>
      <c r="E14" s="22"/>
      <c r="F14" s="22"/>
      <c r="G14" s="26"/>
      <c r="H14" s="26"/>
      <c r="I14" s="22"/>
      <c r="J14" s="22"/>
      <c r="K14" s="22"/>
      <c r="L14" s="22"/>
      <c r="M14" s="22"/>
      <c r="N14" s="22"/>
      <c r="O14" s="22"/>
      <c r="P14" s="23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25">
      <c r="A15" s="12"/>
      <c r="B15" s="19"/>
      <c r="C15" s="40" t="s">
        <v>69</v>
      </c>
      <c r="D15" s="55" t="str">
        <f>VLOOKUP(C10,'Formato descripción HU'!B6:O10,3,0)</f>
        <v>Generar recordatorios automáticos con alertas visuales, sonoras y por vibración.</v>
      </c>
      <c r="E15" s="44"/>
      <c r="F15" s="30"/>
      <c r="G15" s="40" t="s">
        <v>70</v>
      </c>
      <c r="H15" s="55" t="str">
        <f>VLOOKUP(C10,'Formato descripción HU'!B6:O10,4,0)</f>
        <v>Para garantizar la adherencia al tratamiento médico.</v>
      </c>
      <c r="I15" s="51"/>
      <c r="J15" s="44"/>
      <c r="K15" s="30"/>
      <c r="L15" s="40" t="s">
        <v>71</v>
      </c>
      <c r="M15" s="56" t="str">
        <f>VLOOKUP(C10,'Formato descripción HU'!B6:O10,6,0)</f>
        <v>El sistema genera una alerta a la hora programada; el usuario marca como tomada, pospone o indica omisión.</v>
      </c>
      <c r="N15" s="51"/>
      <c r="O15" s="44"/>
      <c r="P15" s="2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25">
      <c r="A16" s="12"/>
      <c r="B16" s="19"/>
      <c r="C16" s="41"/>
      <c r="D16" s="48"/>
      <c r="E16" s="49"/>
      <c r="F16" s="30"/>
      <c r="G16" s="41"/>
      <c r="H16" s="48"/>
      <c r="I16" s="52"/>
      <c r="J16" s="49"/>
      <c r="K16" s="30"/>
      <c r="L16" s="41"/>
      <c r="M16" s="48"/>
      <c r="N16" s="52"/>
      <c r="O16" s="49"/>
      <c r="P16" s="23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25">
      <c r="A17" s="12"/>
      <c r="B17" s="19"/>
      <c r="C17" s="42"/>
      <c r="D17" s="45"/>
      <c r="E17" s="46"/>
      <c r="F17" s="30"/>
      <c r="G17" s="42"/>
      <c r="H17" s="45"/>
      <c r="I17" s="53"/>
      <c r="J17" s="46"/>
      <c r="K17" s="30"/>
      <c r="L17" s="42"/>
      <c r="M17" s="45"/>
      <c r="N17" s="53"/>
      <c r="O17" s="46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.75" customHeight="1" x14ac:dyDescent="0.25">
      <c r="A18" s="12"/>
      <c r="B18" s="19"/>
      <c r="C18" s="22"/>
      <c r="D18" s="22"/>
      <c r="E18" s="22"/>
      <c r="F18" s="22"/>
      <c r="G18" s="26"/>
      <c r="H18" s="26"/>
      <c r="I18" s="26"/>
      <c r="J18" s="22"/>
      <c r="K18" s="22"/>
      <c r="L18" s="22"/>
      <c r="M18" s="22"/>
      <c r="N18" s="22"/>
      <c r="O18" s="22"/>
      <c r="P18" s="2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25">
      <c r="B19" s="19"/>
      <c r="C19" s="43" t="s">
        <v>72</v>
      </c>
      <c r="D19" s="44"/>
      <c r="E19" s="57" t="str">
        <f>VLOOKUP(C10,'Formato descripción HU'!B6:O10,14,0)</f>
        <v>Recordatorios de medicación</v>
      </c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23"/>
      <c r="Q19" s="12"/>
    </row>
    <row r="20" spans="1:26" ht="19.5" customHeight="1" x14ac:dyDescent="0.25">
      <c r="B20" s="19"/>
      <c r="C20" s="45"/>
      <c r="D20" s="46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23"/>
      <c r="Q20" s="12"/>
    </row>
    <row r="21" spans="1:26" ht="9.75" customHeight="1" x14ac:dyDescent="0.25"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2"/>
    </row>
    <row r="22" spans="1:26" ht="19.5" customHeight="1" x14ac:dyDescent="0.25">
      <c r="A22" s="12"/>
      <c r="B22" s="19"/>
      <c r="C22" s="47" t="s">
        <v>73</v>
      </c>
      <c r="D22" s="44"/>
      <c r="E22" s="50" t="str">
        <f>VLOOKUP(C10,'Formato descripción HU'!B6:O10,12,0)</f>
        <v>Se comprueba que la notificación aparezca incluso con la pantalla bloqueada y persista hasta acción del usuario.</v>
      </c>
      <c r="F22" s="51"/>
      <c r="G22" s="51"/>
      <c r="H22" s="44"/>
      <c r="I22" s="22"/>
      <c r="J22" s="47" t="s">
        <v>13</v>
      </c>
      <c r="K22" s="44"/>
      <c r="L22" s="54" t="str">
        <f>VLOOKUP(C10,'Formato descripción HU'!B6:O10,13,0)</f>
        <v>Vital para la adherencia al tratamiento.</v>
      </c>
      <c r="M22" s="51"/>
      <c r="N22" s="51"/>
      <c r="O22" s="44"/>
      <c r="P22" s="2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25">
      <c r="A23" s="12"/>
      <c r="B23" s="19"/>
      <c r="C23" s="48"/>
      <c r="D23" s="49"/>
      <c r="E23" s="48"/>
      <c r="F23" s="52"/>
      <c r="G23" s="52"/>
      <c r="H23" s="49"/>
      <c r="I23" s="22"/>
      <c r="J23" s="48"/>
      <c r="K23" s="49"/>
      <c r="L23" s="48"/>
      <c r="M23" s="52"/>
      <c r="N23" s="52"/>
      <c r="O23" s="49"/>
      <c r="P23" s="2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25">
      <c r="A24" s="12"/>
      <c r="B24" s="19"/>
      <c r="C24" s="45"/>
      <c r="D24" s="46"/>
      <c r="E24" s="45"/>
      <c r="F24" s="53"/>
      <c r="G24" s="53"/>
      <c r="H24" s="46"/>
      <c r="I24" s="22"/>
      <c r="J24" s="45"/>
      <c r="K24" s="46"/>
      <c r="L24" s="45"/>
      <c r="M24" s="53"/>
      <c r="N24" s="53"/>
      <c r="O24" s="46"/>
      <c r="P24" s="2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.75" customHeight="1" x14ac:dyDescent="0.25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25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26" ht="19.5" customHeight="1" x14ac:dyDescent="0.2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26" ht="19.5" customHeight="1" x14ac:dyDescent="0.25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26" ht="19.5" customHeight="1" x14ac:dyDescent="0.25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26" ht="19.5" customHeight="1" x14ac:dyDescent="0.25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26" ht="19.5" customHeight="1" x14ac:dyDescent="0.25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26" ht="19.5" customHeight="1" x14ac:dyDescent="0.25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26" ht="19.5" customHeight="1" x14ac:dyDescent="0.25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26" ht="19.5" customHeight="1" x14ac:dyDescent="0.25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26" ht="19.5" customHeight="1" x14ac:dyDescent="0.25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26" ht="19.5" customHeight="1" x14ac:dyDescent="0.25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26" ht="19.5" customHeight="1" x14ac:dyDescent="0.25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26" ht="19.5" customHeight="1" x14ac:dyDescent="0.25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26" ht="19.5" customHeight="1" x14ac:dyDescent="0.25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26" ht="19.5" customHeight="1" x14ac:dyDescent="0.25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3:16" ht="19.5" customHeight="1" x14ac:dyDescent="0.25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3:16" ht="19.5" customHeight="1" x14ac:dyDescent="0.25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3:16" ht="19.5" customHeight="1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3:16" ht="19.5" customHeight="1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3:16" ht="19.5" customHeight="1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3:16" ht="19.5" customHeight="1" x14ac:dyDescent="0.25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3:16" ht="15.75" customHeight="1" x14ac:dyDescent="0.2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ABNER DAVID ARBOLEDA ROMAN</cp:lastModifiedBy>
  <dcterms:created xsi:type="dcterms:W3CDTF">2025-11-11T12:29:14Z</dcterms:created>
  <dcterms:modified xsi:type="dcterms:W3CDTF">2026-01-20T22:05:37Z</dcterms:modified>
</cp:coreProperties>
</file>