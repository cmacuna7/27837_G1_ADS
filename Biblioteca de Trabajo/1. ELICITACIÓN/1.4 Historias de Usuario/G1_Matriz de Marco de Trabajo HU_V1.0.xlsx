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ato descripción HU" sheetId="1" r:id="rId4"/>
    <sheet state="visible" name="Historia de Usuario" sheetId="2" r:id="rId5"/>
  </sheets>
  <definedNames/>
  <calcPr/>
  <extLst>
    <ext uri="GoogleSheetsCustomDataVersion2">
      <go:sheetsCustomData xmlns:go="http://customooxmlschemas.google.com/" r:id="rId6" roundtripDataChecksum="dyizzRkkwcblVR9ZrNviAim9gEVYFdPqGnZTU6oXUKU="/>
    </ext>
  </extLst>
</workbook>
</file>

<file path=xl/sharedStrings.xml><?xml version="1.0" encoding="utf-8"?>
<sst xmlns="http://schemas.openxmlformats.org/spreadsheetml/2006/main" count="125" uniqueCount="99">
  <si>
    <t>Matriz de Marco de Trabajo de HU</t>
  </si>
  <si>
    <t>ITEM</t>
  </si>
  <si>
    <t>PROBLEMA</t>
  </si>
  <si>
    <t>QUE 
(NECESIDAD)</t>
  </si>
  <si>
    <t>PARA QUE 
(SOLUCIÓN)</t>
  </si>
  <si>
    <t>PARA QUIEN (USUARIO)</t>
  </si>
  <si>
    <t>COMO
 (DESCRIPCIÓN DE TAREAS)</t>
  </si>
  <si>
    <t>HECHO POR  (PROG. RESP.)</t>
  </si>
  <si>
    <t>CUANTO TIEMPO (ESTIMADO EN HRS)</t>
  </si>
  <si>
    <t>FECHA DE ENTREGA</t>
  </si>
  <si>
    <t>PRIORIDAD</t>
  </si>
  <si>
    <t>STATUS</t>
  </si>
  <si>
    <t>PRUEBA 
(COMO SE VERIFICA)</t>
  </si>
  <si>
    <t>COMENTARIOS</t>
  </si>
  <si>
    <t xml:space="preserve">NOMBRE DE HISTORIA </t>
  </si>
  <si>
    <t>RF01</t>
  </si>
  <si>
    <t>Los usuarios no pueden registrar ni controlar sus medicamentos.</t>
  </si>
  <si>
    <t>Permitir registrar, editar y eliminar medicamentos.</t>
  </si>
  <si>
    <t>Para que los adultos mayores puedan administrar su medicación y mantener un historial organizado.</t>
  </si>
  <si>
    <t>Usuario adulto mayor / Cuidador</t>
  </si>
  <si>
    <t>Ingresar nombre, dosis, frecuencia, duración, notas y configurar recordatorios e íconos.</t>
  </si>
  <si>
    <t>Marcelo Acuña</t>
  </si>
  <si>
    <t>Alta</t>
  </si>
  <si>
    <t>No iniciado</t>
  </si>
  <si>
    <t>Se valida que los campos sean obligatorios y se confirme el mensaje “Medicamento guardado exitosamente”.</t>
  </si>
  <si>
    <t>Requisito base del sistema.</t>
  </si>
  <si>
    <t>Gestión de medicamentos</t>
  </si>
  <si>
    <t>RF02</t>
  </si>
  <si>
    <t>El usuario olvida tomar la medicación a tiempo.</t>
  </si>
  <si>
    <t>Generar recordatorios automáticos con alertas visuales, sonoras y por vibración.</t>
  </si>
  <si>
    <t>Para garantizar la adherencia al tratamiento médico.</t>
  </si>
  <si>
    <t>Usuario adulto mayor</t>
  </si>
  <si>
    <t>El sistema genera una alerta a la hora programada; el usuario marca como tomada, pospone o indica omisión.</t>
  </si>
  <si>
    <t>Se comprueba que la notificación aparezca incluso con la pantalla bloqueada y persista hasta acción del usuario.</t>
  </si>
  <si>
    <t>Vital para la adherencia al tratamiento.</t>
  </si>
  <si>
    <t>Recordatorios de medicación</t>
  </si>
  <si>
    <t>RF03</t>
  </si>
  <si>
    <t>No hay un registro consolidado del historial de tomas.</t>
  </si>
  <si>
    <t>Registrar eventos (tomado, omitido, pospuesto) y generar informes.</t>
  </si>
  <si>
    <t>Para que el usuario o cuidador puedan visualizar y compartir el historial.</t>
  </si>
  <si>
    <t>Cuidador / Profesional de salud</t>
  </si>
  <si>
    <t>Generar reportes PDF con fecha, hora y motivo de cada acción.</t>
  </si>
  <si>
    <t>Abner Arboleda</t>
  </si>
  <si>
    <t>Media</t>
  </si>
  <si>
    <t>Se genera un PDF y se verifica que todos los eventos estén listados correctamente.</t>
  </si>
  <si>
    <t>Compatible con exportación a Excel.</t>
  </si>
  <si>
    <t>Informes de historial de medicación</t>
  </si>
  <si>
    <t>RF04</t>
  </si>
  <si>
    <t>El usuario no tiene seguimiento de síntomas o efectos secundarios.</t>
  </si>
  <si>
    <t>Registrar síntomas asociados a medicamentos.</t>
  </si>
  <si>
    <t>Para monitorear la evolución del tratamiento y posibles reacciones adversas.</t>
  </si>
  <si>
    <t>Seleccionar medicamento, ingresar tipo, intensidad, frecuencia y notas del síntoma.</t>
  </si>
  <si>
    <t>Christian Bonifaz</t>
  </si>
  <si>
    <t>Se guarda el síntoma y se muestra en el historial asociado al medicamento.</t>
  </si>
  <si>
    <t>Puede incluir íconos o categorías visuales.</t>
  </si>
  <si>
    <t>Seguimiento de síntomas</t>
  </si>
  <si>
    <t>RF05</t>
  </si>
  <si>
    <t>El cuidador gestiona varios pacientes y no puede separar información.</t>
  </si>
  <si>
    <t>Gestionar múltiples perfiles de usuario.</t>
  </si>
  <si>
    <t>Para administrar distintos pacientes dentro de la misma aplicación.</t>
  </si>
  <si>
    <t>Cuidador</t>
  </si>
  <si>
    <t>Crear, editar o eliminar perfiles con historiales independientes.</t>
  </si>
  <si>
    <t>Se crean y consultan perfiles distintos verificando independencia de datos.</t>
  </si>
  <si>
    <t>Facilita el trabajo de cuidadores.</t>
  </si>
  <si>
    <t>Gestión de perfiles múltiples</t>
  </si>
  <si>
    <t>RF06</t>
  </si>
  <si>
    <t>El usuario olvida o pierde control sobre citas médicas.</t>
  </si>
  <si>
    <t>Registrar y recordar citas médicas.</t>
  </si>
  <si>
    <t>Para que el usuario sea notificado antes de cada cita.</t>
  </si>
  <si>
    <t>Agregar cita con médico, fecha, hora y observaciones; recibir recordatorio.</t>
  </si>
  <si>
    <t>Se verifica que el recordatorio aparezca antes de la cita y los datos se guarden.</t>
  </si>
  <si>
    <t>Puede integrarse con calendario del sistema.</t>
  </si>
  <si>
    <t>Citas médicas</t>
  </si>
  <si>
    <t>RF07</t>
  </si>
  <si>
    <t>El usuario debe ingresar manualmente las recetas.</t>
  </si>
  <si>
    <t>Escanear recetas médicas con cámara (OCR).</t>
  </si>
  <si>
    <t>Para automatizar el ingreso de medicamentos.</t>
  </si>
  <si>
    <t>Capturar imagen, procesar texto con OCR y validar antes de guardar.</t>
  </si>
  <si>
    <t>Se prueba con distintas recetas y se valida la correcta extracción de texto.</t>
  </si>
  <si>
    <t>Riesgo técnico alto por reconocimiento.</t>
  </si>
  <si>
    <t>Reconocimiento de recetas</t>
  </si>
  <si>
    <t>RF08</t>
  </si>
  <si>
    <t>El sistema no se adapta al idioma del usuario.</t>
  </si>
  <si>
    <t>Permitir cambiar el idioma de la interfaz (español e inglés).</t>
  </si>
  <si>
    <t>Para que el sistema sea accesible a usuarios de distintos idiomas.</t>
  </si>
  <si>
    <t>Seleccionar idioma desde configuración; el sistema traduce toda la interfaz.</t>
  </si>
  <si>
    <t>Baja</t>
  </si>
  <si>
    <t>Se verifica el cambio de idioma en textos, alertas e informes.</t>
  </si>
  <si>
    <t>Mejora la accesibilidad internacional.</t>
  </si>
  <si>
    <t>Configuración de idioma</t>
  </si>
  <si>
    <t>HISTORIA DE USUARIO (HU)</t>
  </si>
  <si>
    <t>USUARIO</t>
  </si>
  <si>
    <t>TIEMPO</t>
  </si>
  <si>
    <t>PROG. RESP</t>
  </si>
  <si>
    <t>QUE</t>
  </si>
  <si>
    <t>PARA QUE</t>
  </si>
  <si>
    <t>COMO</t>
  </si>
  <si>
    <t>NOMBRE HISTORIA</t>
  </si>
  <si>
    <t>PRUEBA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</si>
</sst>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\-mm\-dd"/>
  </numFmts>
  <fonts count="14">
    <font>
      <sz val="11.0"/>
      <color theme="1"/>
      <name val="Arial"/>
      <scheme val="minor"/>
    </font>
    <font>
      <sz val="11.0"/>
      <color theme="1"/>
      <name val="Arial Narrow"/>
    </font>
    <font>
      <b/>
      <i/>
      <sz val="16.0"/>
      <color theme="1"/>
      <name val="Arial Narrow"/>
    </font>
    <font/>
    <font>
      <b/>
      <i/>
      <sz val="11.0"/>
      <color rgb="FF9C6500"/>
      <name val="Arial Narrow"/>
    </font>
    <font>
      <sz val="10.0"/>
      <color theme="1"/>
      <name val="Arial Narrow"/>
    </font>
    <font>
      <b/>
      <sz val="11.0"/>
      <color theme="1"/>
      <name val="Calibri"/>
    </font>
    <font>
      <sz val="11.0"/>
      <color theme="1"/>
      <name val="Calibri"/>
    </font>
    <font>
      <b/>
      <sz val="16.0"/>
      <color theme="1"/>
      <name val="Calibri"/>
    </font>
    <font>
      <sz val="11.0"/>
      <color theme="1"/>
      <name val="Arial"/>
    </font>
    <font>
      <b/>
      <sz val="11.0"/>
      <color theme="0"/>
      <name val="Calibri"/>
    </font>
    <font>
      <b/>
      <sz val="11.0"/>
      <color rgb="FFFA7D00"/>
      <name val="Calibri"/>
    </font>
    <font>
      <sz val="12.0"/>
      <color theme="1"/>
      <name val="Calibri"/>
    </font>
    <font>
      <b/>
      <i/>
      <sz val="12.0"/>
      <color rgb="FF9C6500"/>
      <name val="Calibri"/>
    </font>
  </fonts>
  <fills count="10">
    <fill>
      <patternFill patternType="none"/>
    </fill>
    <fill>
      <patternFill patternType="lightGray"/>
    </fill>
    <fill>
      <patternFill patternType="solid">
        <fgColor rgb="FFFFFFCC"/>
        <bgColor rgb="FFFFFFCC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F2F2F2"/>
        <bgColor rgb="FFF2F2F2"/>
      </patternFill>
    </fill>
    <fill>
      <patternFill patternType="solid">
        <fgColor theme="6"/>
        <bgColor theme="6"/>
      </patternFill>
    </fill>
    <fill>
      <patternFill patternType="solid">
        <fgColor theme="0"/>
        <bgColor theme="0"/>
      </patternFill>
    </fill>
    <fill>
      <patternFill patternType="solid">
        <fgColor theme="4"/>
        <bgColor theme="4"/>
      </patternFill>
    </fill>
    <fill>
      <patternFill patternType="solid">
        <fgColor rgb="FFFFEB9C"/>
        <bgColor rgb="FFFFEB9C"/>
      </patternFill>
    </fill>
  </fills>
  <borders count="31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/>
    </border>
    <border>
      <left/>
      <right/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/>
      <bottom/>
    </border>
    <border>
      <left/>
      <right/>
      <top/>
      <bottom/>
    </border>
    <border>
      <left/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 style="thin">
        <color rgb="FFB2B2B2"/>
      </left>
      <top style="thin">
        <color rgb="FFB2B2B2"/>
      </top>
    </border>
    <border>
      <top style="thin">
        <color rgb="FFB2B2B2"/>
      </top>
    </border>
    <border>
      <right style="thin">
        <color rgb="FFB2B2B2"/>
      </right>
      <top style="thin">
        <color rgb="FFB2B2B2"/>
      </top>
    </border>
    <border>
      <left style="thin">
        <color rgb="FFB2B2B2"/>
      </left>
      <bottom style="thin">
        <color rgb="FFB2B2B2"/>
      </bottom>
    </border>
    <border>
      <bottom style="thin">
        <color rgb="FFB2B2B2"/>
      </bottom>
    </border>
    <border>
      <right style="thin">
        <color rgb="FFB2B2B2"/>
      </right>
      <bottom style="thin">
        <color rgb="FFB2B2B2"/>
      </bottom>
    </border>
    <border>
      <left style="thin">
        <color rgb="FF000000"/>
      </left>
      <right/>
      <top/>
      <bottom style="thin">
        <color rgb="FF000000"/>
      </bottom>
    </border>
    <border>
      <left/>
      <right/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</borders>
  <cellStyleXfs count="1">
    <xf borderId="0" fillId="0" fontId="0" numFmtId="0" applyAlignment="1" applyFont="1"/>
  </cellStyleXfs>
  <cellXfs count="62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horizontal="center" vertical="center"/>
    </xf>
    <xf borderId="0" fillId="0" fontId="1" numFmtId="0" xfId="0" applyAlignment="1" applyFont="1">
      <alignment horizontal="center"/>
    </xf>
    <xf borderId="1" fillId="0" fontId="2" numFmtId="0" xfId="0" applyAlignment="1" applyBorder="1" applyFont="1">
      <alignment horizontal="center" vertical="center"/>
    </xf>
    <xf borderId="2" fillId="0" fontId="3" numFmtId="0" xfId="0" applyBorder="1" applyFont="1"/>
    <xf borderId="3" fillId="0" fontId="3" numFmtId="0" xfId="0" applyBorder="1" applyFont="1"/>
    <xf borderId="4" fillId="2" fontId="4" numFmtId="0" xfId="0" applyAlignment="1" applyBorder="1" applyFill="1" applyFont="1">
      <alignment horizontal="center" shrinkToFit="0" vertical="center" wrapText="1"/>
    </xf>
    <xf borderId="4" fillId="3" fontId="5" numFmtId="0" xfId="0" applyAlignment="1" applyBorder="1" applyFill="1" applyFont="1">
      <alignment horizontal="center" readingOrder="0" shrinkToFit="0" vertical="center" wrapText="1"/>
    </xf>
    <xf borderId="4" fillId="0" fontId="5" numFmtId="0" xfId="0" applyAlignment="1" applyBorder="1" applyFont="1">
      <alignment horizontal="center" shrinkToFit="0" vertical="center" wrapText="1"/>
    </xf>
    <xf borderId="4" fillId="0" fontId="5" numFmtId="164" xfId="0" applyAlignment="1" applyBorder="1" applyFont="1" applyNumberFormat="1">
      <alignment horizontal="center" shrinkToFit="0" vertical="center" wrapText="1"/>
    </xf>
    <xf borderId="4" fillId="4" fontId="5" numFmtId="0" xfId="0" applyAlignment="1" applyBorder="1" applyFill="1" applyFont="1">
      <alignment horizontal="center" shrinkToFit="0" vertical="center" wrapText="1"/>
    </xf>
    <xf borderId="4" fillId="0" fontId="5" numFmtId="49" xfId="0" applyAlignment="1" applyBorder="1" applyFont="1" applyNumberFormat="1">
      <alignment horizontal="center" shrinkToFit="0" vertical="center" wrapText="1"/>
    </xf>
    <xf borderId="0" fillId="0" fontId="6" numFmtId="0" xfId="0" applyAlignment="1" applyFont="1">
      <alignment horizontal="left" shrinkToFit="0" vertical="center" wrapText="1"/>
    </xf>
    <xf borderId="0" fillId="0" fontId="7" numFmtId="0" xfId="0" applyFont="1"/>
    <xf borderId="1" fillId="5" fontId="8" numFmtId="0" xfId="0" applyAlignment="1" applyBorder="1" applyFill="1" applyFont="1">
      <alignment horizontal="center" shrinkToFit="0" vertical="center" wrapText="1"/>
    </xf>
    <xf borderId="0" fillId="0" fontId="9" numFmtId="0" xfId="0" applyFont="1"/>
    <xf borderId="0" fillId="0" fontId="6" numFmtId="0" xfId="0" applyAlignment="1" applyFont="1">
      <alignment horizontal="center" shrinkToFit="0" vertical="center" wrapText="1"/>
    </xf>
    <xf borderId="5" fillId="5" fontId="9" numFmtId="0" xfId="0" applyBorder="1" applyFont="1"/>
    <xf borderId="6" fillId="5" fontId="6" numFmtId="0" xfId="0" applyAlignment="1" applyBorder="1" applyFont="1">
      <alignment horizontal="left" shrinkToFit="0" vertical="center" wrapText="1"/>
    </xf>
    <xf borderId="6" fillId="5" fontId="7" numFmtId="0" xfId="0" applyBorder="1" applyFont="1"/>
    <xf borderId="6" fillId="5" fontId="9" numFmtId="0" xfId="0" applyBorder="1" applyFont="1"/>
    <xf borderId="7" fillId="5" fontId="9" numFmtId="0" xfId="0" applyBorder="1" applyFont="1"/>
    <xf borderId="8" fillId="5" fontId="9" numFmtId="0" xfId="0" applyBorder="1" applyFont="1"/>
    <xf borderId="4" fillId="6" fontId="10" numFmtId="0" xfId="0" applyAlignment="1" applyBorder="1" applyFill="1" applyFont="1">
      <alignment horizontal="center" vertical="center"/>
    </xf>
    <xf borderId="9" fillId="5" fontId="11" numFmtId="0" xfId="0" applyAlignment="1" applyBorder="1" applyFont="1">
      <alignment vertical="center"/>
    </xf>
    <xf borderId="1" fillId="6" fontId="10" numFmtId="0" xfId="0" applyAlignment="1" applyBorder="1" applyFont="1">
      <alignment horizontal="center" vertical="center"/>
    </xf>
    <xf borderId="9" fillId="5" fontId="9" numFmtId="0" xfId="0" applyBorder="1" applyFont="1"/>
    <xf borderId="10" fillId="5" fontId="9" numFmtId="0" xfId="0" applyBorder="1" applyFont="1"/>
    <xf borderId="4" fillId="7" fontId="12" numFmtId="0" xfId="0" applyAlignment="1" applyBorder="1" applyFill="1" applyFont="1">
      <alignment horizontal="center" readingOrder="0" vertical="center"/>
    </xf>
    <xf borderId="9" fillId="5" fontId="7" numFmtId="0" xfId="0" applyAlignment="1" applyBorder="1" applyFont="1">
      <alignment shrinkToFit="0" vertical="center" wrapText="1"/>
    </xf>
    <xf borderId="1" fillId="7" fontId="7" numFmtId="0" xfId="0" applyAlignment="1" applyBorder="1" applyFont="1">
      <alignment horizontal="center" vertical="center"/>
    </xf>
    <xf borderId="9" fillId="5" fontId="7" numFmtId="0" xfId="0" applyAlignment="1" applyBorder="1" applyFont="1">
      <alignment vertical="center"/>
    </xf>
    <xf borderId="9" fillId="5" fontId="12" numFmtId="0" xfId="0" applyAlignment="1" applyBorder="1" applyFont="1">
      <alignment horizontal="center" vertical="center"/>
    </xf>
    <xf borderId="9" fillId="5" fontId="7" numFmtId="0" xfId="0" applyAlignment="1" applyBorder="1" applyFont="1">
      <alignment horizontal="center" vertical="center"/>
    </xf>
    <xf borderId="4" fillId="7" fontId="12" numFmtId="0" xfId="0" applyAlignment="1" applyBorder="1" applyFont="1">
      <alignment horizontal="center" vertical="center"/>
    </xf>
    <xf borderId="11" fillId="8" fontId="10" numFmtId="0" xfId="0" applyAlignment="1" applyBorder="1" applyFill="1" applyFont="1">
      <alignment horizontal="center" vertical="center"/>
    </xf>
    <xf borderId="12" fillId="7" fontId="7" numFmtId="0" xfId="0" applyAlignment="1" applyBorder="1" applyFont="1">
      <alignment horizontal="center" shrinkToFit="0" vertical="center" wrapText="1"/>
    </xf>
    <xf borderId="13" fillId="0" fontId="3" numFmtId="0" xfId="0" applyBorder="1" applyFont="1"/>
    <xf borderId="9" fillId="5" fontId="9" numFmtId="0" xfId="0" applyAlignment="1" applyBorder="1" applyFont="1">
      <alignment horizontal="center"/>
    </xf>
    <xf borderId="14" fillId="0" fontId="3" numFmtId="0" xfId="0" applyBorder="1" applyFont="1"/>
    <xf borderId="12" fillId="7" fontId="7" numFmtId="0" xfId="0" applyAlignment="1" applyBorder="1" applyFont="1">
      <alignment horizontal="left" vertical="center"/>
    </xf>
    <xf borderId="15" fillId="0" fontId="3" numFmtId="0" xfId="0" applyBorder="1" applyFont="1"/>
    <xf borderId="16" fillId="0" fontId="3" numFmtId="0" xfId="0" applyBorder="1" applyFont="1"/>
    <xf borderId="17" fillId="0" fontId="3" numFmtId="0" xfId="0" applyBorder="1" applyFont="1"/>
    <xf borderId="18" fillId="0" fontId="3" numFmtId="0" xfId="0" applyBorder="1" applyFont="1"/>
    <xf borderId="19" fillId="0" fontId="3" numFmtId="0" xfId="0" applyBorder="1" applyFont="1"/>
    <xf borderId="20" fillId="0" fontId="3" numFmtId="0" xfId="0" applyBorder="1" applyFont="1"/>
    <xf borderId="21" fillId="0" fontId="3" numFmtId="0" xfId="0" applyBorder="1" applyFont="1"/>
    <xf borderId="12" fillId="9" fontId="13" numFmtId="0" xfId="0" applyAlignment="1" applyBorder="1" applyFill="1" applyFont="1">
      <alignment horizontal="center" vertical="center"/>
    </xf>
    <xf borderId="22" fillId="2" fontId="12" numFmtId="0" xfId="0" applyAlignment="1" applyBorder="1" applyFont="1">
      <alignment horizontal="center" vertical="center"/>
    </xf>
    <xf borderId="23" fillId="0" fontId="3" numFmtId="0" xfId="0" applyBorder="1" applyFont="1"/>
    <xf borderId="24" fillId="0" fontId="3" numFmtId="0" xfId="0" applyBorder="1" applyFont="1"/>
    <xf borderId="25" fillId="0" fontId="3" numFmtId="0" xfId="0" applyBorder="1" applyFont="1"/>
    <xf borderId="26" fillId="0" fontId="3" numFmtId="0" xfId="0" applyBorder="1" applyFont="1"/>
    <xf borderId="27" fillId="0" fontId="3" numFmtId="0" xfId="0" applyBorder="1" applyFont="1"/>
    <xf borderId="12" fillId="6" fontId="10" numFmtId="0" xfId="0" applyAlignment="1" applyBorder="1" applyFont="1">
      <alignment horizontal="center" vertical="center"/>
    </xf>
    <xf borderId="12" fillId="7" fontId="7" numFmtId="49" xfId="0" applyAlignment="1" applyBorder="1" applyFont="1" applyNumberFormat="1">
      <alignment horizontal="left" vertical="center"/>
    </xf>
    <xf borderId="12" fillId="7" fontId="7" numFmtId="0" xfId="0" applyAlignment="1" applyBorder="1" applyFont="1">
      <alignment horizontal="center" vertical="center"/>
    </xf>
    <xf borderId="28" fillId="5" fontId="9" numFmtId="0" xfId="0" applyBorder="1" applyFont="1"/>
    <xf borderId="29" fillId="5" fontId="9" numFmtId="0" xfId="0" applyBorder="1" applyFont="1"/>
    <xf borderId="30" fillId="5" fontId="9" numFmtId="0" xfId="0" applyBorder="1" applyFont="1"/>
  </cellXfs>
  <cellStyles count="1">
    <cellStyle xfId="0" name="Normal" builtinId="0"/>
  </cellStyles>
  <dxfs count="3">
    <dxf>
      <font>
        <color rgb="FF9C0006"/>
      </font>
      <fill>
        <patternFill patternType="solid">
          <fgColor rgb="FFFFC7CE"/>
          <bgColor rgb="FFFFC7CE"/>
        </patternFill>
      </fill>
      <border/>
    </dxf>
    <dxf>
      <font>
        <color rgb="FF006100"/>
      </font>
      <fill>
        <patternFill patternType="solid">
          <fgColor rgb="FFC6EFCE"/>
          <bgColor rgb="FFC6EFCE"/>
        </patternFill>
      </fill>
      <border/>
    </dxf>
    <dxf>
      <font>
        <color rgb="FF9C6500"/>
      </font>
      <fill>
        <patternFill patternType="solid">
          <fgColor rgb="FFFFEB9C"/>
          <bgColor rgb="FFFFEB9C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jpg"/><Relationship Id="rId2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13</xdr:col>
      <xdr:colOff>552450</xdr:colOff>
      <xdr:row>8</xdr:row>
      <xdr:rowOff>266700</xdr:rowOff>
    </xdr:from>
    <xdr:ext cx="1066800" cy="1162050"/>
    <xdr:pic>
      <xdr:nvPicPr>
        <xdr:cNvPr id="0" name="image2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219075</xdr:colOff>
      <xdr:row>8</xdr:row>
      <xdr:rowOff>266700</xdr:rowOff>
    </xdr:from>
    <xdr:ext cx="1095375" cy="1162050"/>
    <xdr:pic>
      <xdr:nvPicPr>
        <xdr:cNvPr id="0" name="image1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2.63" defaultRowHeight="15.0"/>
  <cols>
    <col customWidth="1" min="1" max="1" width="4.63"/>
    <col customWidth="1" min="2" max="2" width="6.63"/>
    <col customWidth="1" min="3" max="5" width="20.63"/>
    <col customWidth="1" min="6" max="6" width="13.13"/>
    <col customWidth="1" min="7" max="7" width="32.5"/>
    <col customWidth="1" min="8" max="12" width="10.63"/>
    <col customWidth="1" min="13" max="13" width="32.75"/>
    <col customWidth="1" min="14" max="15" width="20.63"/>
    <col customWidth="1" min="16" max="26" width="9.38"/>
  </cols>
  <sheetData>
    <row r="1">
      <c r="A1" s="1"/>
      <c r="B1" s="1"/>
      <c r="C1" s="1"/>
      <c r="D1" s="1"/>
      <c r="E1" s="1"/>
      <c r="F1" s="1"/>
      <c r="G1" s="1"/>
      <c r="H1" s="1"/>
      <c r="I1" s="2"/>
      <c r="J1" s="2"/>
      <c r="K1" s="3"/>
      <c r="L1" s="2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/>
      <c r="B2" s="1"/>
      <c r="C2" s="1"/>
      <c r="D2" s="1"/>
      <c r="E2" s="1"/>
      <c r="F2" s="1"/>
      <c r="G2" s="1"/>
      <c r="H2" s="1"/>
      <c r="I2" s="2"/>
      <c r="J2" s="2"/>
      <c r="K2" s="3"/>
      <c r="L2" s="2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45.0" customHeight="1">
      <c r="A3" s="1"/>
      <c r="B3" s="4" t="s">
        <v>0</v>
      </c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6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/>
      <c r="B4" s="1"/>
      <c r="C4" s="1"/>
      <c r="D4" s="1"/>
      <c r="E4" s="1"/>
      <c r="F4" s="1"/>
      <c r="G4" s="1"/>
      <c r="H4" s="1"/>
      <c r="I4" s="2"/>
      <c r="J4" s="2"/>
      <c r="K4" s="3"/>
      <c r="L4" s="2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60.0" customHeight="1">
      <c r="A5" s="1"/>
      <c r="B5" s="7" t="s">
        <v>1</v>
      </c>
      <c r="C5" s="7" t="s">
        <v>2</v>
      </c>
      <c r="D5" s="7" t="s">
        <v>3</v>
      </c>
      <c r="E5" s="7" t="s">
        <v>4</v>
      </c>
      <c r="F5" s="7" t="s">
        <v>5</v>
      </c>
      <c r="G5" s="7" t="s">
        <v>6</v>
      </c>
      <c r="H5" s="7" t="s">
        <v>7</v>
      </c>
      <c r="I5" s="7" t="s">
        <v>8</v>
      </c>
      <c r="J5" s="7" t="s">
        <v>9</v>
      </c>
      <c r="K5" s="7" t="s">
        <v>10</v>
      </c>
      <c r="L5" s="7" t="s">
        <v>11</v>
      </c>
      <c r="M5" s="7" t="s">
        <v>12</v>
      </c>
      <c r="N5" s="7" t="s">
        <v>13</v>
      </c>
      <c r="O5" s="7" t="s">
        <v>14</v>
      </c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75.75" customHeight="1">
      <c r="A6" s="1"/>
      <c r="B6" s="8" t="s">
        <v>15</v>
      </c>
      <c r="C6" s="9" t="s">
        <v>16</v>
      </c>
      <c r="D6" s="9" t="s">
        <v>17</v>
      </c>
      <c r="E6" s="9" t="s">
        <v>18</v>
      </c>
      <c r="F6" s="9" t="s">
        <v>19</v>
      </c>
      <c r="G6" s="9" t="s">
        <v>20</v>
      </c>
      <c r="H6" s="9" t="s">
        <v>21</v>
      </c>
      <c r="I6" s="9">
        <v>4.0</v>
      </c>
      <c r="J6" s="10">
        <v>45870.0</v>
      </c>
      <c r="K6" s="11" t="s">
        <v>22</v>
      </c>
      <c r="L6" s="9" t="s">
        <v>23</v>
      </c>
      <c r="M6" s="12" t="s">
        <v>24</v>
      </c>
      <c r="N6" s="9" t="s">
        <v>25</v>
      </c>
      <c r="O6" s="9" t="s">
        <v>26</v>
      </c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75.75" customHeight="1">
      <c r="A7" s="1"/>
      <c r="B7" s="8" t="s">
        <v>27</v>
      </c>
      <c r="C7" s="9" t="s">
        <v>28</v>
      </c>
      <c r="D7" s="9" t="s">
        <v>29</v>
      </c>
      <c r="E7" s="9" t="s">
        <v>30</v>
      </c>
      <c r="F7" s="9" t="s">
        <v>31</v>
      </c>
      <c r="G7" s="9" t="s">
        <v>32</v>
      </c>
      <c r="H7" s="9" t="s">
        <v>21</v>
      </c>
      <c r="I7" s="9">
        <v>5.0</v>
      </c>
      <c r="J7" s="10">
        <v>45870.0</v>
      </c>
      <c r="K7" s="11" t="s">
        <v>22</v>
      </c>
      <c r="L7" s="9" t="s">
        <v>23</v>
      </c>
      <c r="M7" s="12" t="s">
        <v>33</v>
      </c>
      <c r="N7" s="9" t="s">
        <v>34</v>
      </c>
      <c r="O7" s="9" t="s">
        <v>35</v>
      </c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75.75" customHeight="1">
      <c r="A8" s="1"/>
      <c r="B8" s="8" t="s">
        <v>36</v>
      </c>
      <c r="C8" s="9" t="s">
        <v>37</v>
      </c>
      <c r="D8" s="9" t="s">
        <v>38</v>
      </c>
      <c r="E8" s="9" t="s">
        <v>39</v>
      </c>
      <c r="F8" s="9" t="s">
        <v>40</v>
      </c>
      <c r="G8" s="9" t="s">
        <v>41</v>
      </c>
      <c r="H8" s="9" t="s">
        <v>42</v>
      </c>
      <c r="I8" s="9">
        <v>3.0</v>
      </c>
      <c r="J8" s="10">
        <v>45870.0</v>
      </c>
      <c r="K8" s="11" t="s">
        <v>43</v>
      </c>
      <c r="L8" s="9" t="s">
        <v>23</v>
      </c>
      <c r="M8" s="12" t="s">
        <v>44</v>
      </c>
      <c r="N8" s="9" t="s">
        <v>45</v>
      </c>
      <c r="O8" s="9" t="s">
        <v>46</v>
      </c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64.5" customHeight="1">
      <c r="A9" s="1"/>
      <c r="B9" s="8" t="s">
        <v>47</v>
      </c>
      <c r="C9" s="9" t="s">
        <v>48</v>
      </c>
      <c r="D9" s="9" t="s">
        <v>49</v>
      </c>
      <c r="E9" s="9" t="s">
        <v>50</v>
      </c>
      <c r="F9" s="9" t="s">
        <v>19</v>
      </c>
      <c r="G9" s="9" t="s">
        <v>51</v>
      </c>
      <c r="H9" s="9" t="s">
        <v>52</v>
      </c>
      <c r="I9" s="9">
        <v>3.0</v>
      </c>
      <c r="J9" s="10">
        <v>45870.0</v>
      </c>
      <c r="K9" s="11" t="s">
        <v>43</v>
      </c>
      <c r="L9" s="9" t="s">
        <v>23</v>
      </c>
      <c r="M9" s="12" t="s">
        <v>53</v>
      </c>
      <c r="N9" s="9" t="s">
        <v>54</v>
      </c>
      <c r="O9" s="9" t="s">
        <v>55</v>
      </c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61.5" customHeight="1">
      <c r="A10" s="1"/>
      <c r="B10" s="8" t="s">
        <v>56</v>
      </c>
      <c r="C10" s="9" t="s">
        <v>57</v>
      </c>
      <c r="D10" s="9" t="s">
        <v>58</v>
      </c>
      <c r="E10" s="9" t="s">
        <v>59</v>
      </c>
      <c r="F10" s="9" t="s">
        <v>60</v>
      </c>
      <c r="G10" s="9" t="s">
        <v>61</v>
      </c>
      <c r="H10" s="9" t="s">
        <v>21</v>
      </c>
      <c r="I10" s="9">
        <v>4.0</v>
      </c>
      <c r="J10" s="10">
        <v>45870.0</v>
      </c>
      <c r="K10" s="11" t="s">
        <v>43</v>
      </c>
      <c r="L10" s="9" t="s">
        <v>23</v>
      </c>
      <c r="M10" s="12" t="s">
        <v>62</v>
      </c>
      <c r="N10" s="9" t="s">
        <v>63</v>
      </c>
      <c r="O10" s="9" t="s">
        <v>64</v>
      </c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70.5" customHeight="1">
      <c r="A11" s="1"/>
      <c r="B11" s="8" t="s">
        <v>65</v>
      </c>
      <c r="C11" s="9" t="s">
        <v>66</v>
      </c>
      <c r="D11" s="9" t="s">
        <v>67</v>
      </c>
      <c r="E11" s="9" t="s">
        <v>68</v>
      </c>
      <c r="F11" s="9" t="s">
        <v>31</v>
      </c>
      <c r="G11" s="9" t="s">
        <v>69</v>
      </c>
      <c r="H11" s="9" t="s">
        <v>42</v>
      </c>
      <c r="I11" s="9">
        <v>3.0</v>
      </c>
      <c r="J11" s="10">
        <v>45870.0</v>
      </c>
      <c r="K11" s="11" t="s">
        <v>43</v>
      </c>
      <c r="L11" s="9" t="s">
        <v>23</v>
      </c>
      <c r="M11" s="12" t="s">
        <v>70</v>
      </c>
      <c r="N11" s="9" t="s">
        <v>71</v>
      </c>
      <c r="O11" s="9" t="s">
        <v>72</v>
      </c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61.5" customHeight="1">
      <c r="A12" s="1"/>
      <c r="B12" s="8" t="s">
        <v>73</v>
      </c>
      <c r="C12" s="9" t="s">
        <v>74</v>
      </c>
      <c r="D12" s="9" t="s">
        <v>75</v>
      </c>
      <c r="E12" s="9" t="s">
        <v>76</v>
      </c>
      <c r="F12" s="9" t="s">
        <v>19</v>
      </c>
      <c r="G12" s="9" t="s">
        <v>77</v>
      </c>
      <c r="H12" s="9" t="s">
        <v>52</v>
      </c>
      <c r="I12" s="9">
        <v>6.0</v>
      </c>
      <c r="J12" s="10">
        <v>45870.0</v>
      </c>
      <c r="K12" s="11" t="s">
        <v>22</v>
      </c>
      <c r="L12" s="9" t="s">
        <v>23</v>
      </c>
      <c r="M12" s="12" t="s">
        <v>78</v>
      </c>
      <c r="N12" s="9" t="s">
        <v>79</v>
      </c>
      <c r="O12" s="9" t="s">
        <v>80</v>
      </c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58.5" customHeight="1">
      <c r="A13" s="1"/>
      <c r="B13" s="8" t="s">
        <v>81</v>
      </c>
      <c r="C13" s="9" t="s">
        <v>82</v>
      </c>
      <c r="D13" s="9" t="s">
        <v>83</v>
      </c>
      <c r="E13" s="9" t="s">
        <v>84</v>
      </c>
      <c r="F13" s="9" t="s">
        <v>31</v>
      </c>
      <c r="G13" s="9" t="s">
        <v>85</v>
      </c>
      <c r="H13" s="9" t="s">
        <v>42</v>
      </c>
      <c r="I13" s="9">
        <v>2.0</v>
      </c>
      <c r="J13" s="10">
        <v>45870.0</v>
      </c>
      <c r="K13" s="11" t="s">
        <v>86</v>
      </c>
      <c r="L13" s="9" t="s">
        <v>23</v>
      </c>
      <c r="M13" s="12" t="s">
        <v>87</v>
      </c>
      <c r="N13" s="9" t="s">
        <v>88</v>
      </c>
      <c r="O13" s="9" t="s">
        <v>89</v>
      </c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9.5" customHeight="1">
      <c r="A14" s="1"/>
      <c r="B14" s="1"/>
      <c r="C14" s="1"/>
      <c r="D14" s="1"/>
      <c r="E14" s="1"/>
      <c r="F14" s="1"/>
      <c r="G14" s="1"/>
      <c r="H14" s="1"/>
      <c r="I14" s="2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9.5" customHeight="1">
      <c r="A15" s="1"/>
      <c r="B15" s="1"/>
      <c r="C15" s="1"/>
      <c r="D15" s="1"/>
      <c r="E15" s="1"/>
      <c r="F15" s="1"/>
      <c r="G15" s="1"/>
      <c r="H15" s="1"/>
      <c r="I15" s="2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5.75" customHeight="1">
      <c r="A16" s="1"/>
      <c r="B16" s="1"/>
      <c r="C16" s="1"/>
      <c r="D16" s="1"/>
      <c r="E16" s="1"/>
      <c r="F16" s="1"/>
      <c r="G16" s="1"/>
      <c r="H16" s="1"/>
      <c r="I16" s="2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5.75" customHeight="1">
      <c r="A17" s="1"/>
      <c r="B17" s="1"/>
      <c r="C17" s="1"/>
      <c r="D17" s="1"/>
      <c r="E17" s="1"/>
      <c r="F17" s="1"/>
      <c r="G17" s="1"/>
      <c r="H17" s="1"/>
      <c r="I17" s="2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5.75" customHeight="1">
      <c r="A18" s="1"/>
      <c r="B18" s="1"/>
      <c r="C18" s="1"/>
      <c r="D18" s="1"/>
      <c r="E18" s="1"/>
      <c r="F18" s="1"/>
      <c r="G18" s="1"/>
      <c r="H18" s="1"/>
      <c r="I18" s="2"/>
      <c r="J18" s="2"/>
      <c r="K18" s="3"/>
      <c r="L18" s="2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5.75" customHeight="1">
      <c r="A19" s="1"/>
      <c r="B19" s="1"/>
      <c r="C19" s="1"/>
      <c r="D19" s="1"/>
      <c r="E19" s="1"/>
      <c r="F19" s="1"/>
      <c r="G19" s="1"/>
      <c r="H19" s="1"/>
      <c r="I19" s="2"/>
      <c r="J19" s="2"/>
      <c r="K19" s="3"/>
      <c r="L19" s="2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5.75" customHeight="1">
      <c r="A20" s="1"/>
      <c r="B20" s="1"/>
      <c r="C20" s="1"/>
      <c r="D20" s="1"/>
      <c r="E20" s="1"/>
      <c r="F20" s="1"/>
      <c r="G20" s="1"/>
      <c r="H20" s="1"/>
      <c r="I20" s="2"/>
      <c r="J20" s="2"/>
      <c r="K20" s="3"/>
      <c r="L20" s="2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75" customHeight="1">
      <c r="A21" s="1"/>
      <c r="B21" s="1"/>
      <c r="C21" s="1"/>
      <c r="D21" s="1"/>
      <c r="E21" s="1"/>
      <c r="F21" s="1"/>
      <c r="G21" s="1"/>
      <c r="H21" s="1"/>
      <c r="I21" s="2"/>
      <c r="J21" s="2"/>
      <c r="K21" s="3"/>
      <c r="L21" s="2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75" customHeight="1">
      <c r="A22" s="1"/>
      <c r="B22" s="1"/>
      <c r="C22" s="1"/>
      <c r="D22" s="1"/>
      <c r="E22" s="1"/>
      <c r="F22" s="1"/>
      <c r="G22" s="1"/>
      <c r="H22" s="1"/>
      <c r="I22" s="2"/>
      <c r="J22" s="2"/>
      <c r="K22" s="3"/>
      <c r="L22" s="2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75" customHeight="1">
      <c r="A23" s="1"/>
      <c r="B23" s="1"/>
      <c r="C23" s="1"/>
      <c r="D23" s="1"/>
      <c r="E23" s="1"/>
      <c r="F23" s="1"/>
      <c r="G23" s="1"/>
      <c r="H23" s="1"/>
      <c r="I23" s="2"/>
      <c r="J23" s="2"/>
      <c r="K23" s="3"/>
      <c r="L23" s="2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1"/>
      <c r="B24" s="1"/>
      <c r="C24" s="1"/>
      <c r="D24" s="1"/>
      <c r="E24" s="1"/>
      <c r="F24" s="1"/>
      <c r="G24" s="1"/>
      <c r="H24" s="1"/>
      <c r="I24" s="2"/>
      <c r="J24" s="2"/>
      <c r="K24" s="3"/>
      <c r="L24" s="2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1"/>
      <c r="B25" s="1"/>
      <c r="C25" s="1"/>
      <c r="D25" s="1"/>
      <c r="E25" s="1"/>
      <c r="F25" s="1"/>
      <c r="G25" s="1"/>
      <c r="H25" s="1"/>
      <c r="I25" s="2"/>
      <c r="J25" s="2"/>
      <c r="K25" s="3"/>
      <c r="L25" s="2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1"/>
      <c r="B26" s="1"/>
      <c r="C26" s="1"/>
      <c r="D26" s="1"/>
      <c r="E26" s="1"/>
      <c r="F26" s="1"/>
      <c r="G26" s="1"/>
      <c r="H26" s="1"/>
      <c r="I26" s="2"/>
      <c r="J26" s="2"/>
      <c r="K26" s="3"/>
      <c r="L26" s="2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1"/>
      <c r="B27" s="1"/>
      <c r="C27" s="1"/>
      <c r="D27" s="1"/>
      <c r="E27" s="1"/>
      <c r="F27" s="1"/>
      <c r="G27" s="1"/>
      <c r="H27" s="1"/>
      <c r="I27" s="2"/>
      <c r="J27" s="2"/>
      <c r="K27" s="3"/>
      <c r="L27" s="2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1"/>
      <c r="B28" s="1"/>
      <c r="C28" s="1"/>
      <c r="D28" s="1"/>
      <c r="E28" s="1"/>
      <c r="F28" s="1"/>
      <c r="G28" s="1"/>
      <c r="H28" s="1"/>
      <c r="I28" s="2"/>
      <c r="J28" s="2"/>
      <c r="K28" s="3"/>
      <c r="L28" s="2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1"/>
      <c r="B29" s="1"/>
      <c r="C29" s="1"/>
      <c r="D29" s="1"/>
      <c r="E29" s="1"/>
      <c r="F29" s="1"/>
      <c r="G29" s="1"/>
      <c r="H29" s="1"/>
      <c r="I29" s="2"/>
      <c r="J29" s="2"/>
      <c r="K29" s="3"/>
      <c r="L29" s="2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1"/>
      <c r="B30" s="1"/>
      <c r="C30" s="1"/>
      <c r="D30" s="1"/>
      <c r="E30" s="1"/>
      <c r="F30" s="1"/>
      <c r="G30" s="1"/>
      <c r="H30" s="1"/>
      <c r="I30" s="2"/>
      <c r="J30" s="2"/>
      <c r="K30" s="3"/>
      <c r="L30" s="2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2"/>
      <c r="J31" s="2"/>
      <c r="K31" s="3"/>
      <c r="L31" s="2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2"/>
      <c r="J32" s="2"/>
      <c r="K32" s="3"/>
      <c r="L32" s="2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2"/>
      <c r="J33" s="2"/>
      <c r="K33" s="3"/>
      <c r="L33" s="2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2"/>
      <c r="J34" s="2"/>
      <c r="K34" s="3"/>
      <c r="L34" s="2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2"/>
      <c r="J35" s="2"/>
      <c r="K35" s="3"/>
      <c r="L35" s="2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2"/>
      <c r="J36" s="2"/>
      <c r="K36" s="3"/>
      <c r="L36" s="2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2"/>
      <c r="J37" s="2"/>
      <c r="K37" s="3"/>
      <c r="L37" s="2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2"/>
      <c r="J38" s="2"/>
      <c r="K38" s="3"/>
      <c r="L38" s="2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2"/>
      <c r="J39" s="2"/>
      <c r="K39" s="3"/>
      <c r="L39" s="2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2"/>
      <c r="J40" s="2"/>
      <c r="K40" s="3"/>
      <c r="L40" s="2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2"/>
      <c r="J41" s="2"/>
      <c r="K41" s="3"/>
      <c r="L41" s="2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2"/>
      <c r="J42" s="2"/>
      <c r="K42" s="3"/>
      <c r="L42" s="2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2"/>
      <c r="J43" s="2"/>
      <c r="K43" s="3"/>
      <c r="L43" s="2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2"/>
      <c r="J44" s="2"/>
      <c r="K44" s="3"/>
      <c r="L44" s="2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2"/>
      <c r="J45" s="2"/>
      <c r="K45" s="3"/>
      <c r="L45" s="2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2"/>
      <c r="J46" s="2"/>
      <c r="K46" s="3"/>
      <c r="L46" s="2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2"/>
      <c r="J47" s="2"/>
      <c r="K47" s="3"/>
      <c r="L47" s="2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2"/>
      <c r="J48" s="2"/>
      <c r="K48" s="3"/>
      <c r="L48" s="2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2"/>
      <c r="J49" s="2"/>
      <c r="K49" s="3"/>
      <c r="L49" s="2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2"/>
      <c r="J50" s="2"/>
      <c r="K50" s="3"/>
      <c r="L50" s="2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2"/>
      <c r="J51" s="2"/>
      <c r="K51" s="3"/>
      <c r="L51" s="2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2"/>
      <c r="J52" s="2"/>
      <c r="K52" s="3"/>
      <c r="L52" s="2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2"/>
      <c r="J53" s="2"/>
      <c r="K53" s="3"/>
      <c r="L53" s="2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2"/>
      <c r="J54" s="2"/>
      <c r="K54" s="3"/>
      <c r="L54" s="2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2"/>
      <c r="J55" s="2"/>
      <c r="K55" s="3"/>
      <c r="L55" s="2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2"/>
      <c r="J56" s="2"/>
      <c r="K56" s="3"/>
      <c r="L56" s="2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2"/>
      <c r="J57" s="2"/>
      <c r="K57" s="3"/>
      <c r="L57" s="2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2"/>
      <c r="J58" s="2"/>
      <c r="K58" s="3"/>
      <c r="L58" s="2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2"/>
      <c r="J59" s="2"/>
      <c r="K59" s="3"/>
      <c r="L59" s="2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2"/>
      <c r="J60" s="2"/>
      <c r="K60" s="3"/>
      <c r="L60" s="2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2"/>
      <c r="J61" s="2"/>
      <c r="K61" s="3"/>
      <c r="L61" s="2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2"/>
      <c r="J62" s="2"/>
      <c r="K62" s="3"/>
      <c r="L62" s="2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2"/>
      <c r="J63" s="2"/>
      <c r="K63" s="3"/>
      <c r="L63" s="2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2"/>
      <c r="J64" s="2"/>
      <c r="K64" s="3"/>
      <c r="L64" s="2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2"/>
      <c r="J65" s="2"/>
      <c r="K65" s="3"/>
      <c r="L65" s="2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2"/>
      <c r="J66" s="2"/>
      <c r="K66" s="3"/>
      <c r="L66" s="2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2"/>
      <c r="J67" s="2"/>
      <c r="K67" s="3"/>
      <c r="L67" s="2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2"/>
      <c r="J68" s="2"/>
      <c r="K68" s="3"/>
      <c r="L68" s="2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2"/>
      <c r="J69" s="2"/>
      <c r="K69" s="3"/>
      <c r="L69" s="2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2"/>
      <c r="J70" s="2"/>
      <c r="K70" s="3"/>
      <c r="L70" s="2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2"/>
      <c r="J71" s="2"/>
      <c r="K71" s="3"/>
      <c r="L71" s="2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2"/>
      <c r="J72" s="2"/>
      <c r="K72" s="3"/>
      <c r="L72" s="2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2"/>
      <c r="J73" s="2"/>
      <c r="K73" s="3"/>
      <c r="L73" s="2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2"/>
      <c r="J74" s="2"/>
      <c r="K74" s="3"/>
      <c r="L74" s="2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2"/>
      <c r="J75" s="2"/>
      <c r="K75" s="3"/>
      <c r="L75" s="2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2"/>
      <c r="J76" s="2"/>
      <c r="K76" s="3"/>
      <c r="L76" s="2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2"/>
      <c r="J77" s="2"/>
      <c r="K77" s="3"/>
      <c r="L77" s="2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2"/>
      <c r="J78" s="2"/>
      <c r="K78" s="3"/>
      <c r="L78" s="2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2"/>
      <c r="J79" s="2"/>
      <c r="K79" s="3"/>
      <c r="L79" s="2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2"/>
      <c r="J80" s="2"/>
      <c r="K80" s="3"/>
      <c r="L80" s="2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2"/>
      <c r="J81" s="2"/>
      <c r="K81" s="3"/>
      <c r="L81" s="2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2"/>
      <c r="J82" s="2"/>
      <c r="K82" s="3"/>
      <c r="L82" s="2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2"/>
      <c r="J83" s="2"/>
      <c r="K83" s="3"/>
      <c r="L83" s="2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2"/>
      <c r="J84" s="2"/>
      <c r="K84" s="3"/>
      <c r="L84" s="2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2"/>
      <c r="J85" s="2"/>
      <c r="K85" s="3"/>
      <c r="L85" s="2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2"/>
      <c r="J86" s="2"/>
      <c r="K86" s="3"/>
      <c r="L86" s="2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2"/>
      <c r="J87" s="2"/>
      <c r="K87" s="3"/>
      <c r="L87" s="2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2"/>
      <c r="J88" s="2"/>
      <c r="K88" s="3"/>
      <c r="L88" s="2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2"/>
      <c r="J89" s="2"/>
      <c r="K89" s="3"/>
      <c r="L89" s="2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2"/>
      <c r="J90" s="2"/>
      <c r="K90" s="3"/>
      <c r="L90" s="2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2"/>
      <c r="J91" s="2"/>
      <c r="K91" s="3"/>
      <c r="L91" s="2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2"/>
      <c r="J92" s="2"/>
      <c r="K92" s="3"/>
      <c r="L92" s="2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2"/>
      <c r="J93" s="2"/>
      <c r="K93" s="3"/>
      <c r="L93" s="2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2"/>
      <c r="J94" s="2"/>
      <c r="K94" s="3"/>
      <c r="L94" s="2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2"/>
      <c r="J95" s="2"/>
      <c r="K95" s="3"/>
      <c r="L95" s="2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2"/>
      <c r="J96" s="2"/>
      <c r="K96" s="3"/>
      <c r="L96" s="2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2"/>
      <c r="J97" s="2"/>
      <c r="K97" s="3"/>
      <c r="L97" s="2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2"/>
      <c r="J98" s="2"/>
      <c r="K98" s="3"/>
      <c r="L98" s="2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2"/>
      <c r="J99" s="2"/>
      <c r="K99" s="3"/>
      <c r="L99" s="2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2"/>
      <c r="J100" s="2"/>
      <c r="K100" s="3"/>
      <c r="L100" s="2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2"/>
      <c r="J101" s="2"/>
      <c r="K101" s="3"/>
      <c r="L101" s="2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2"/>
      <c r="J102" s="2"/>
      <c r="K102" s="3"/>
      <c r="L102" s="2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2"/>
      <c r="J103" s="2"/>
      <c r="K103" s="3"/>
      <c r="L103" s="2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2"/>
      <c r="J104" s="2"/>
      <c r="K104" s="3"/>
      <c r="L104" s="2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2"/>
      <c r="J105" s="2"/>
      <c r="K105" s="3"/>
      <c r="L105" s="2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2"/>
      <c r="J106" s="2"/>
      <c r="K106" s="3"/>
      <c r="L106" s="2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2"/>
      <c r="J107" s="2"/>
      <c r="K107" s="3"/>
      <c r="L107" s="2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2"/>
      <c r="J108" s="2"/>
      <c r="K108" s="3"/>
      <c r="L108" s="2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2"/>
      <c r="J109" s="2"/>
      <c r="K109" s="3"/>
      <c r="L109" s="2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2"/>
      <c r="J110" s="2"/>
      <c r="K110" s="3"/>
      <c r="L110" s="2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2"/>
      <c r="J111" s="2"/>
      <c r="K111" s="3"/>
      <c r="L111" s="2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2"/>
      <c r="J112" s="2"/>
      <c r="K112" s="3"/>
      <c r="L112" s="2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2"/>
      <c r="J113" s="2"/>
      <c r="K113" s="3"/>
      <c r="L113" s="2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2"/>
      <c r="J114" s="2"/>
      <c r="K114" s="3"/>
      <c r="L114" s="2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2"/>
      <c r="J115" s="2"/>
      <c r="K115" s="3"/>
      <c r="L115" s="2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2"/>
      <c r="J116" s="2"/>
      <c r="K116" s="3"/>
      <c r="L116" s="2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2"/>
      <c r="J117" s="2"/>
      <c r="K117" s="3"/>
      <c r="L117" s="2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2"/>
      <c r="J118" s="2"/>
      <c r="K118" s="3"/>
      <c r="L118" s="2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2"/>
      <c r="J119" s="2"/>
      <c r="K119" s="3"/>
      <c r="L119" s="2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2"/>
      <c r="J120" s="2"/>
      <c r="K120" s="3"/>
      <c r="L120" s="2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2"/>
      <c r="J121" s="2"/>
      <c r="K121" s="3"/>
      <c r="L121" s="2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2"/>
      <c r="J122" s="2"/>
      <c r="K122" s="3"/>
      <c r="L122" s="2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2"/>
      <c r="J123" s="2"/>
      <c r="K123" s="3"/>
      <c r="L123" s="2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2"/>
      <c r="J124" s="2"/>
      <c r="K124" s="3"/>
      <c r="L124" s="2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2"/>
      <c r="J125" s="2"/>
      <c r="K125" s="3"/>
      <c r="L125" s="2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2"/>
      <c r="J126" s="2"/>
      <c r="K126" s="3"/>
      <c r="L126" s="2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2"/>
      <c r="J127" s="2"/>
      <c r="K127" s="3"/>
      <c r="L127" s="2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2"/>
      <c r="J128" s="2"/>
      <c r="K128" s="3"/>
      <c r="L128" s="2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2"/>
      <c r="J129" s="2"/>
      <c r="K129" s="3"/>
      <c r="L129" s="2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2"/>
      <c r="J130" s="2"/>
      <c r="K130" s="3"/>
      <c r="L130" s="2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2"/>
      <c r="J131" s="2"/>
      <c r="K131" s="3"/>
      <c r="L131" s="2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2"/>
      <c r="J132" s="2"/>
      <c r="K132" s="3"/>
      <c r="L132" s="2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2"/>
      <c r="J133" s="2"/>
      <c r="K133" s="3"/>
      <c r="L133" s="2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2"/>
      <c r="J134" s="2"/>
      <c r="K134" s="3"/>
      <c r="L134" s="2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2"/>
      <c r="J135" s="2"/>
      <c r="K135" s="3"/>
      <c r="L135" s="2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2"/>
      <c r="J136" s="2"/>
      <c r="K136" s="3"/>
      <c r="L136" s="2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2"/>
      <c r="J137" s="2"/>
      <c r="K137" s="3"/>
      <c r="L137" s="2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2"/>
      <c r="J138" s="2"/>
      <c r="K138" s="3"/>
      <c r="L138" s="2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2"/>
      <c r="J139" s="2"/>
      <c r="K139" s="3"/>
      <c r="L139" s="2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2"/>
      <c r="J140" s="2"/>
      <c r="K140" s="3"/>
      <c r="L140" s="2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2"/>
      <c r="J141" s="2"/>
      <c r="K141" s="3"/>
      <c r="L141" s="2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2"/>
      <c r="J142" s="2"/>
      <c r="K142" s="3"/>
      <c r="L142" s="2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2"/>
      <c r="J143" s="2"/>
      <c r="K143" s="3"/>
      <c r="L143" s="2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2"/>
      <c r="J144" s="2"/>
      <c r="K144" s="3"/>
      <c r="L144" s="2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2"/>
      <c r="J145" s="2"/>
      <c r="K145" s="3"/>
      <c r="L145" s="2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2"/>
      <c r="J146" s="2"/>
      <c r="K146" s="3"/>
      <c r="L146" s="2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2"/>
      <c r="J147" s="2"/>
      <c r="K147" s="3"/>
      <c r="L147" s="2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2"/>
      <c r="J148" s="2"/>
      <c r="K148" s="3"/>
      <c r="L148" s="2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2"/>
      <c r="J149" s="2"/>
      <c r="K149" s="3"/>
      <c r="L149" s="2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2"/>
      <c r="J150" s="2"/>
      <c r="K150" s="3"/>
      <c r="L150" s="2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2"/>
      <c r="J151" s="2"/>
      <c r="K151" s="3"/>
      <c r="L151" s="2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2"/>
      <c r="J152" s="2"/>
      <c r="K152" s="3"/>
      <c r="L152" s="2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2"/>
      <c r="J153" s="2"/>
      <c r="K153" s="3"/>
      <c r="L153" s="2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2"/>
      <c r="J154" s="2"/>
      <c r="K154" s="3"/>
      <c r="L154" s="2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2"/>
      <c r="J155" s="2"/>
      <c r="K155" s="3"/>
      <c r="L155" s="2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2"/>
      <c r="J156" s="2"/>
      <c r="K156" s="3"/>
      <c r="L156" s="2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2"/>
      <c r="J157" s="2"/>
      <c r="K157" s="3"/>
      <c r="L157" s="2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2"/>
      <c r="J158" s="2"/>
      <c r="K158" s="3"/>
      <c r="L158" s="2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2"/>
      <c r="J159" s="2"/>
      <c r="K159" s="3"/>
      <c r="L159" s="2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2"/>
      <c r="J160" s="2"/>
      <c r="K160" s="3"/>
      <c r="L160" s="2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2"/>
      <c r="J161" s="2"/>
      <c r="K161" s="3"/>
      <c r="L161" s="2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2"/>
      <c r="J162" s="2"/>
      <c r="K162" s="3"/>
      <c r="L162" s="2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2"/>
      <c r="J163" s="2"/>
      <c r="K163" s="3"/>
      <c r="L163" s="2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2"/>
      <c r="J164" s="2"/>
      <c r="K164" s="3"/>
      <c r="L164" s="2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2"/>
      <c r="J165" s="2"/>
      <c r="K165" s="3"/>
      <c r="L165" s="2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2"/>
      <c r="J166" s="2"/>
      <c r="K166" s="3"/>
      <c r="L166" s="2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2"/>
      <c r="J167" s="2"/>
      <c r="K167" s="3"/>
      <c r="L167" s="2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2"/>
      <c r="J168" s="2"/>
      <c r="K168" s="3"/>
      <c r="L168" s="2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2"/>
      <c r="J169" s="2"/>
      <c r="K169" s="3"/>
      <c r="L169" s="2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2"/>
      <c r="J170" s="2"/>
      <c r="K170" s="3"/>
      <c r="L170" s="2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2"/>
      <c r="J171" s="2"/>
      <c r="K171" s="3"/>
      <c r="L171" s="2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2"/>
      <c r="J172" s="2"/>
      <c r="K172" s="3"/>
      <c r="L172" s="2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2"/>
      <c r="J173" s="2"/>
      <c r="K173" s="3"/>
      <c r="L173" s="2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2"/>
      <c r="J174" s="2"/>
      <c r="K174" s="3"/>
      <c r="L174" s="2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2"/>
      <c r="J175" s="2"/>
      <c r="K175" s="3"/>
      <c r="L175" s="2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2"/>
      <c r="J176" s="2"/>
      <c r="K176" s="3"/>
      <c r="L176" s="2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2"/>
      <c r="J177" s="2"/>
      <c r="K177" s="3"/>
      <c r="L177" s="2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2"/>
      <c r="J178" s="2"/>
      <c r="K178" s="3"/>
      <c r="L178" s="2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2"/>
      <c r="J179" s="2"/>
      <c r="K179" s="3"/>
      <c r="L179" s="2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2"/>
      <c r="J180" s="2"/>
      <c r="K180" s="3"/>
      <c r="L180" s="2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2"/>
      <c r="J181" s="2"/>
      <c r="K181" s="3"/>
      <c r="L181" s="2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2"/>
      <c r="J182" s="2"/>
      <c r="K182" s="3"/>
      <c r="L182" s="2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2"/>
      <c r="J183" s="2"/>
      <c r="K183" s="3"/>
      <c r="L183" s="2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2"/>
      <c r="J184" s="2"/>
      <c r="K184" s="3"/>
      <c r="L184" s="2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2"/>
      <c r="J185" s="2"/>
      <c r="K185" s="3"/>
      <c r="L185" s="2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2"/>
      <c r="J186" s="2"/>
      <c r="K186" s="3"/>
      <c r="L186" s="2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2"/>
      <c r="J187" s="2"/>
      <c r="K187" s="3"/>
      <c r="L187" s="2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2"/>
      <c r="J188" s="2"/>
      <c r="K188" s="3"/>
      <c r="L188" s="2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2"/>
      <c r="J189" s="2"/>
      <c r="K189" s="3"/>
      <c r="L189" s="2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2"/>
      <c r="J190" s="2"/>
      <c r="K190" s="3"/>
      <c r="L190" s="2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2"/>
      <c r="J191" s="2"/>
      <c r="K191" s="3"/>
      <c r="L191" s="2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2"/>
      <c r="J192" s="2"/>
      <c r="K192" s="3"/>
      <c r="L192" s="2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2"/>
      <c r="J193" s="2"/>
      <c r="K193" s="3"/>
      <c r="L193" s="2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2"/>
      <c r="J194" s="2"/>
      <c r="K194" s="3"/>
      <c r="L194" s="2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2"/>
      <c r="J195" s="2"/>
      <c r="K195" s="3"/>
      <c r="L195" s="2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2"/>
      <c r="J196" s="2"/>
      <c r="K196" s="3"/>
      <c r="L196" s="2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2"/>
      <c r="J197" s="2"/>
      <c r="K197" s="3"/>
      <c r="L197" s="2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2"/>
      <c r="J198" s="2"/>
      <c r="K198" s="3"/>
      <c r="L198" s="2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2"/>
      <c r="J199" s="2"/>
      <c r="K199" s="3"/>
      <c r="L199" s="2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2"/>
      <c r="J200" s="2"/>
      <c r="K200" s="3"/>
      <c r="L200" s="2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2"/>
      <c r="J201" s="2"/>
      <c r="K201" s="3"/>
      <c r="L201" s="2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2"/>
      <c r="J202" s="2"/>
      <c r="K202" s="3"/>
      <c r="L202" s="2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2"/>
      <c r="J203" s="2"/>
      <c r="K203" s="3"/>
      <c r="L203" s="2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2"/>
      <c r="J204" s="2"/>
      <c r="K204" s="3"/>
      <c r="L204" s="2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2"/>
      <c r="J205" s="2"/>
      <c r="K205" s="3"/>
      <c r="L205" s="2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2"/>
      <c r="J206" s="2"/>
      <c r="K206" s="3"/>
      <c r="L206" s="2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2"/>
      <c r="J207" s="2"/>
      <c r="K207" s="3"/>
      <c r="L207" s="2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2"/>
      <c r="J208" s="2"/>
      <c r="K208" s="3"/>
      <c r="L208" s="2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2"/>
      <c r="J209" s="2"/>
      <c r="K209" s="3"/>
      <c r="L209" s="2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2"/>
      <c r="J210" s="2"/>
      <c r="K210" s="3"/>
      <c r="L210" s="2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2"/>
      <c r="J211" s="2"/>
      <c r="K211" s="3"/>
      <c r="L211" s="2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2"/>
      <c r="J212" s="2"/>
      <c r="K212" s="3"/>
      <c r="L212" s="2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2"/>
      <c r="J213" s="2"/>
      <c r="K213" s="3"/>
      <c r="L213" s="2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</sheetData>
  <mergeCells count="1">
    <mergeCell ref="B3:O3"/>
  </mergeCells>
  <conditionalFormatting sqref="L6:L13">
    <cfRule type="colorScale" priority="1">
      <colorScale>
        <cfvo type="min"/>
        <cfvo type="max"/>
        <color rgb="FF57BB8A"/>
        <color rgb="FFFFFFFF"/>
      </colorScale>
    </cfRule>
  </conditionalFormatting>
  <conditionalFormatting sqref="L11:L13">
    <cfRule type="colorScale" priority="2">
      <colorScale>
        <cfvo type="min"/>
        <cfvo type="max"/>
        <color rgb="FF57BB8A"/>
        <color rgb="FFFFFFFF"/>
      </colorScale>
    </cfRule>
  </conditionalFormatting>
  <conditionalFormatting sqref="L9">
    <cfRule type="colorScale" priority="3">
      <colorScale>
        <cfvo type="min"/>
        <cfvo type="max"/>
        <color rgb="FF57BB8A"/>
        <color rgb="FFFFFFFF"/>
      </colorScale>
    </cfRule>
  </conditionalFormatting>
  <dataValidations>
    <dataValidation type="list" allowBlank="1" showErrorMessage="1" sqref="K6:L13">
      <formula1>#REF!</formula1>
    </dataValidation>
  </dataValidations>
  <printOptions horizontalCentered="1"/>
  <pageMargins bottom="0.5511811023622047" footer="0.0" header="0.0" left="0.31496062992125984" right="0.31496062992125984" top="0.7480314960629921"/>
  <pageSetup paperSize="9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2.63" defaultRowHeight="15.0"/>
  <cols>
    <col customWidth="1" min="1" max="1" width="9.38"/>
    <col customWidth="1" min="2" max="2" width="2.63"/>
    <col customWidth="1" min="3" max="15" width="10.63"/>
    <col customWidth="1" min="16" max="16" width="2.63"/>
    <col customWidth="1" min="17" max="26" width="9.38"/>
  </cols>
  <sheetData>
    <row r="2" ht="15.0" hidden="1" customHeight="1"/>
    <row r="3" ht="15.0" hidden="1" customHeight="1"/>
    <row r="4" hidden="1">
      <c r="C4" s="13"/>
      <c r="D4" s="13"/>
      <c r="E4" s="13"/>
      <c r="F4" s="14"/>
    </row>
    <row r="5" hidden="1">
      <c r="C5" s="13"/>
      <c r="D5" s="13"/>
      <c r="E5" s="13"/>
      <c r="F5" s="14"/>
    </row>
    <row r="6" ht="39.75" customHeight="1">
      <c r="B6" s="15" t="s">
        <v>90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6"/>
    </row>
    <row r="7" ht="9.75" customHeight="1">
      <c r="A7" s="16"/>
      <c r="B7" s="16"/>
      <c r="C7" s="17"/>
      <c r="D7" s="17"/>
      <c r="E7" s="17"/>
      <c r="F7" s="17"/>
      <c r="G7" s="17"/>
      <c r="H7" s="17"/>
      <c r="I7" s="17"/>
      <c r="J7" s="17"/>
      <c r="K7" s="17"/>
      <c r="L7" s="17"/>
      <c r="M7" s="17"/>
      <c r="N7" s="17"/>
      <c r="O7" s="17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</row>
    <row r="8" ht="9.75" customHeight="1">
      <c r="B8" s="18"/>
      <c r="C8" s="19"/>
      <c r="D8" s="19"/>
      <c r="E8" s="19"/>
      <c r="F8" s="20"/>
      <c r="G8" s="21"/>
      <c r="H8" s="21"/>
      <c r="I8" s="21"/>
      <c r="J8" s="21"/>
      <c r="K8" s="21"/>
      <c r="L8" s="21"/>
      <c r="M8" s="21"/>
      <c r="N8" s="21"/>
      <c r="O8" s="21"/>
      <c r="P8" s="22"/>
      <c r="Q8" s="16"/>
    </row>
    <row r="9" ht="30.0" customHeight="1">
      <c r="B9" s="23"/>
      <c r="C9" s="24" t="s">
        <v>1</v>
      </c>
      <c r="D9" s="25"/>
      <c r="E9" s="26" t="s">
        <v>91</v>
      </c>
      <c r="F9" s="6"/>
      <c r="G9" s="25"/>
      <c r="H9" s="26" t="s">
        <v>11</v>
      </c>
      <c r="I9" s="6"/>
      <c r="J9" s="27"/>
      <c r="K9" s="27"/>
      <c r="L9" s="27"/>
      <c r="M9" s="27"/>
      <c r="N9" s="27"/>
      <c r="O9" s="27"/>
      <c r="P9" s="28"/>
      <c r="Q9" s="16"/>
    </row>
    <row r="10" ht="30.0" customHeight="1">
      <c r="B10" s="23"/>
      <c r="C10" s="29" t="s">
        <v>27</v>
      </c>
      <c r="D10" s="30"/>
      <c r="E10" s="31" t="str">
        <f>VLOOKUP(C10,'Formato descripción HU'!B6:O13,5,0)</f>
        <v>Usuario adulto mayor</v>
      </c>
      <c r="F10" s="6"/>
      <c r="G10" s="32"/>
      <c r="H10" s="31" t="str">
        <f>VLOOKUP(C10,'Formato descripción HU'!B6:O13,11,0)</f>
        <v>No iniciado</v>
      </c>
      <c r="I10" s="6"/>
      <c r="J10" s="32"/>
      <c r="K10" s="27"/>
      <c r="L10" s="27"/>
      <c r="M10" s="27"/>
      <c r="N10" s="27"/>
      <c r="O10" s="27"/>
      <c r="P10" s="28"/>
      <c r="Q10" s="16"/>
    </row>
    <row r="11" ht="9.75" customHeight="1">
      <c r="A11" s="16"/>
      <c r="B11" s="23"/>
      <c r="C11" s="33"/>
      <c r="D11" s="30"/>
      <c r="E11" s="34"/>
      <c r="F11" s="34"/>
      <c r="G11" s="32"/>
      <c r="H11" s="34"/>
      <c r="I11" s="34"/>
      <c r="J11" s="32"/>
      <c r="K11" s="34"/>
      <c r="L11" s="34"/>
      <c r="M11" s="27"/>
      <c r="N11" s="34"/>
      <c r="O11" s="34"/>
      <c r="P11" s="28"/>
      <c r="Q11" s="16"/>
      <c r="R11" s="16"/>
      <c r="S11" s="16"/>
      <c r="T11" s="16"/>
      <c r="U11" s="16"/>
      <c r="V11" s="16"/>
      <c r="W11" s="16"/>
      <c r="X11" s="16"/>
      <c r="Y11" s="16"/>
      <c r="Z11" s="16"/>
    </row>
    <row r="12" ht="30.0" customHeight="1">
      <c r="A12" s="16"/>
      <c r="B12" s="23"/>
      <c r="C12" s="24" t="s">
        <v>92</v>
      </c>
      <c r="D12" s="30"/>
      <c r="E12" s="26" t="s">
        <v>10</v>
      </c>
      <c r="F12" s="6"/>
      <c r="G12" s="32"/>
      <c r="H12" s="26" t="s">
        <v>93</v>
      </c>
      <c r="I12" s="6"/>
      <c r="J12" s="32"/>
      <c r="K12" s="34"/>
      <c r="L12" s="34"/>
      <c r="M12" s="27"/>
      <c r="N12" s="34"/>
      <c r="O12" s="34"/>
      <c r="P12" s="28"/>
      <c r="Q12" s="16"/>
      <c r="R12" s="16"/>
      <c r="S12" s="16"/>
      <c r="T12" s="16"/>
      <c r="U12" s="16"/>
      <c r="V12" s="16"/>
      <c r="W12" s="16"/>
      <c r="X12" s="16"/>
      <c r="Y12" s="16"/>
      <c r="Z12" s="16"/>
    </row>
    <row r="13" ht="30.0" customHeight="1">
      <c r="A13" s="16"/>
      <c r="B13" s="23"/>
      <c r="C13" s="35">
        <f>VLOOKUP('Historia de Usuario'!C10,'Formato descripción HU'!B6:O13,8,0)</f>
        <v>5</v>
      </c>
      <c r="D13" s="30"/>
      <c r="E13" s="31" t="str">
        <f>VLOOKUP(C10,'Formato descripción HU'!B6:O13,10,0)</f>
        <v>Alta</v>
      </c>
      <c r="F13" s="6"/>
      <c r="G13" s="32"/>
      <c r="H13" s="31" t="str">
        <f>VLOOKUP(C10,'Formato descripción HU'!B6:O13,7,0)</f>
        <v>Marcelo Acuña</v>
      </c>
      <c r="I13" s="6"/>
      <c r="J13" s="32"/>
      <c r="K13" s="34"/>
      <c r="L13" s="34"/>
      <c r="M13" s="27"/>
      <c r="N13" s="34"/>
      <c r="O13" s="34"/>
      <c r="P13" s="28"/>
      <c r="Q13" s="16"/>
      <c r="R13" s="16"/>
      <c r="S13" s="16"/>
      <c r="T13" s="16"/>
      <c r="U13" s="16"/>
      <c r="V13" s="16"/>
      <c r="W13" s="16"/>
      <c r="X13" s="16"/>
      <c r="Y13" s="16"/>
      <c r="Z13" s="16"/>
    </row>
    <row r="14" ht="9.75" customHeight="1">
      <c r="A14" s="16"/>
      <c r="B14" s="23"/>
      <c r="C14" s="27"/>
      <c r="D14" s="30"/>
      <c r="E14" s="27"/>
      <c r="F14" s="27"/>
      <c r="G14" s="32"/>
      <c r="H14" s="32"/>
      <c r="I14" s="27"/>
      <c r="J14" s="27"/>
      <c r="K14" s="27"/>
      <c r="L14" s="27"/>
      <c r="M14" s="27"/>
      <c r="N14" s="27"/>
      <c r="O14" s="27"/>
      <c r="P14" s="28"/>
      <c r="Q14" s="16"/>
      <c r="R14" s="16"/>
      <c r="S14" s="16"/>
      <c r="T14" s="16"/>
      <c r="U14" s="16"/>
      <c r="V14" s="16"/>
      <c r="W14" s="16"/>
      <c r="X14" s="16"/>
      <c r="Y14" s="16"/>
      <c r="Z14" s="16"/>
    </row>
    <row r="15" ht="19.5" customHeight="1">
      <c r="A15" s="16"/>
      <c r="B15" s="23"/>
      <c r="C15" s="36" t="s">
        <v>94</v>
      </c>
      <c r="D15" s="37" t="str">
        <f>VLOOKUP(C10,'Formato descripción HU'!B6:O13,3,0)</f>
        <v>Generar recordatorios automáticos con alertas visuales, sonoras y por vibración.</v>
      </c>
      <c r="E15" s="38"/>
      <c r="F15" s="39"/>
      <c r="G15" s="36" t="s">
        <v>95</v>
      </c>
      <c r="H15" s="37" t="str">
        <f>VLOOKUP(C10,'Formato descripción HU'!B6:O13,4,0)</f>
        <v>Para garantizar la adherencia al tratamiento médico.</v>
      </c>
      <c r="I15" s="40"/>
      <c r="J15" s="38"/>
      <c r="K15" s="39"/>
      <c r="L15" s="36" t="s">
        <v>96</v>
      </c>
      <c r="M15" s="41" t="str">
        <f>VLOOKUP(C10,'Formato descripción HU'!B6:O13,6,0)</f>
        <v>El sistema genera una alerta a la hora programada; el usuario marca como tomada, pospone o indica omisión.</v>
      </c>
      <c r="N15" s="40"/>
      <c r="O15" s="38"/>
      <c r="P15" s="28"/>
      <c r="Q15" s="16"/>
      <c r="R15" s="16"/>
      <c r="S15" s="16"/>
      <c r="T15" s="16"/>
      <c r="U15" s="16"/>
      <c r="V15" s="16"/>
      <c r="W15" s="16"/>
      <c r="X15" s="16"/>
      <c r="Y15" s="16"/>
      <c r="Z15" s="16"/>
    </row>
    <row r="16" ht="19.5" customHeight="1">
      <c r="A16" s="16"/>
      <c r="B16" s="23"/>
      <c r="C16" s="42"/>
      <c r="D16" s="43"/>
      <c r="E16" s="44"/>
      <c r="F16" s="39"/>
      <c r="G16" s="42"/>
      <c r="H16" s="43"/>
      <c r="J16" s="44"/>
      <c r="K16" s="39"/>
      <c r="L16" s="42"/>
      <c r="M16" s="43"/>
      <c r="O16" s="44"/>
      <c r="P16" s="28"/>
      <c r="Q16" s="16"/>
      <c r="R16" s="16"/>
      <c r="S16" s="16"/>
      <c r="T16" s="16"/>
      <c r="U16" s="16"/>
      <c r="V16" s="16"/>
      <c r="W16" s="16"/>
      <c r="X16" s="16"/>
      <c r="Y16" s="16"/>
      <c r="Z16" s="16"/>
    </row>
    <row r="17" ht="19.5" customHeight="1">
      <c r="A17" s="16"/>
      <c r="B17" s="23"/>
      <c r="C17" s="45"/>
      <c r="D17" s="46"/>
      <c r="E17" s="47"/>
      <c r="F17" s="39"/>
      <c r="G17" s="45"/>
      <c r="H17" s="46"/>
      <c r="I17" s="48"/>
      <c r="J17" s="47"/>
      <c r="K17" s="39"/>
      <c r="L17" s="45"/>
      <c r="M17" s="46"/>
      <c r="N17" s="48"/>
      <c r="O17" s="47"/>
      <c r="P17" s="28"/>
      <c r="Q17" s="16"/>
      <c r="R17" s="16"/>
      <c r="S17" s="16"/>
      <c r="T17" s="16"/>
      <c r="U17" s="16"/>
      <c r="V17" s="16"/>
      <c r="W17" s="16"/>
      <c r="X17" s="16"/>
      <c r="Y17" s="16"/>
      <c r="Z17" s="16"/>
    </row>
    <row r="18" ht="9.75" customHeight="1">
      <c r="A18" s="16"/>
      <c r="B18" s="23"/>
      <c r="C18" s="27"/>
      <c r="D18" s="27"/>
      <c r="E18" s="27"/>
      <c r="F18" s="27"/>
      <c r="G18" s="32"/>
      <c r="H18" s="32"/>
      <c r="I18" s="32"/>
      <c r="J18" s="27"/>
      <c r="K18" s="27"/>
      <c r="L18" s="27"/>
      <c r="M18" s="27"/>
      <c r="N18" s="27"/>
      <c r="O18" s="27"/>
      <c r="P18" s="28"/>
      <c r="Q18" s="16"/>
      <c r="R18" s="16"/>
      <c r="S18" s="16"/>
      <c r="T18" s="16"/>
      <c r="U18" s="16"/>
      <c r="V18" s="16"/>
      <c r="W18" s="16"/>
      <c r="X18" s="16"/>
      <c r="Y18" s="16"/>
      <c r="Z18" s="16"/>
    </row>
    <row r="19" ht="19.5" customHeight="1">
      <c r="B19" s="23"/>
      <c r="C19" s="49" t="s">
        <v>97</v>
      </c>
      <c r="D19" s="38"/>
      <c r="E19" s="50" t="str">
        <f>VLOOKUP(C10,'Formato descripción HU'!B6:O13,14,0)</f>
        <v>Recordatorios de medicación</v>
      </c>
      <c r="F19" s="51"/>
      <c r="G19" s="51"/>
      <c r="H19" s="51"/>
      <c r="I19" s="51"/>
      <c r="J19" s="51"/>
      <c r="K19" s="51"/>
      <c r="L19" s="51"/>
      <c r="M19" s="51"/>
      <c r="N19" s="51"/>
      <c r="O19" s="52"/>
      <c r="P19" s="28"/>
      <c r="Q19" s="16"/>
    </row>
    <row r="20" ht="19.5" customHeight="1">
      <c r="B20" s="23"/>
      <c r="C20" s="46"/>
      <c r="D20" s="47"/>
      <c r="E20" s="53"/>
      <c r="F20" s="54"/>
      <c r="G20" s="54"/>
      <c r="H20" s="54"/>
      <c r="I20" s="54"/>
      <c r="J20" s="54"/>
      <c r="K20" s="54"/>
      <c r="L20" s="54"/>
      <c r="M20" s="54"/>
      <c r="N20" s="54"/>
      <c r="O20" s="55"/>
      <c r="P20" s="28"/>
      <c r="Q20" s="16"/>
    </row>
    <row r="21" ht="9.75" customHeight="1">
      <c r="B21" s="23"/>
      <c r="C21" s="27"/>
      <c r="D21" s="27"/>
      <c r="E21" s="27"/>
      <c r="F21" s="27"/>
      <c r="G21" s="27"/>
      <c r="H21" s="27"/>
      <c r="I21" s="27"/>
      <c r="J21" s="27"/>
      <c r="K21" s="27"/>
      <c r="L21" s="27"/>
      <c r="M21" s="27"/>
      <c r="N21" s="27"/>
      <c r="O21" s="27"/>
      <c r="P21" s="28"/>
      <c r="Q21" s="16"/>
    </row>
    <row r="22" ht="19.5" customHeight="1">
      <c r="A22" s="16"/>
      <c r="B22" s="23"/>
      <c r="C22" s="56" t="s">
        <v>98</v>
      </c>
      <c r="D22" s="38"/>
      <c r="E22" s="57" t="str">
        <f>VLOOKUP(C10,'Formato descripción HU'!B6:O13,12,0)</f>
        <v>Se comprueba que la notificación aparezca incluso con la pantalla bloqueada y persista hasta acción del usuario.</v>
      </c>
      <c r="F22" s="40"/>
      <c r="G22" s="40"/>
      <c r="H22" s="38"/>
      <c r="I22" s="27"/>
      <c r="J22" s="56" t="s">
        <v>13</v>
      </c>
      <c r="K22" s="38"/>
      <c r="L22" s="58" t="str">
        <f>VLOOKUP(C10,'Formato descripción HU'!B6:O13,13,0)</f>
        <v>Vital para la adherencia al tratamiento.</v>
      </c>
      <c r="M22" s="40"/>
      <c r="N22" s="40"/>
      <c r="O22" s="38"/>
      <c r="P22" s="28"/>
      <c r="Q22" s="16"/>
      <c r="R22" s="16"/>
      <c r="S22" s="16"/>
      <c r="T22" s="16"/>
      <c r="U22" s="16"/>
      <c r="V22" s="16"/>
      <c r="W22" s="16"/>
      <c r="X22" s="16"/>
      <c r="Y22" s="16"/>
      <c r="Z22" s="16"/>
    </row>
    <row r="23" ht="19.5" customHeight="1">
      <c r="A23" s="16"/>
      <c r="B23" s="23"/>
      <c r="C23" s="43"/>
      <c r="D23" s="44"/>
      <c r="E23" s="43"/>
      <c r="H23" s="44"/>
      <c r="I23" s="27"/>
      <c r="J23" s="43"/>
      <c r="K23" s="44"/>
      <c r="L23" s="43"/>
      <c r="O23" s="44"/>
      <c r="P23" s="28"/>
      <c r="Q23" s="16"/>
      <c r="R23" s="16"/>
      <c r="S23" s="16"/>
      <c r="T23" s="16"/>
      <c r="U23" s="16"/>
      <c r="V23" s="16"/>
      <c r="W23" s="16"/>
      <c r="X23" s="16"/>
      <c r="Y23" s="16"/>
      <c r="Z23" s="16"/>
    </row>
    <row r="24" ht="19.5" customHeight="1">
      <c r="A24" s="16"/>
      <c r="B24" s="23"/>
      <c r="C24" s="46"/>
      <c r="D24" s="47"/>
      <c r="E24" s="46"/>
      <c r="F24" s="48"/>
      <c r="G24" s="48"/>
      <c r="H24" s="47"/>
      <c r="I24" s="27"/>
      <c r="J24" s="46"/>
      <c r="K24" s="47"/>
      <c r="L24" s="46"/>
      <c r="M24" s="48"/>
      <c r="N24" s="48"/>
      <c r="O24" s="47"/>
      <c r="P24" s="28"/>
      <c r="Q24" s="16"/>
      <c r="R24" s="16"/>
      <c r="S24" s="16"/>
      <c r="T24" s="16"/>
      <c r="U24" s="16"/>
      <c r="V24" s="16"/>
      <c r="W24" s="16"/>
      <c r="X24" s="16"/>
      <c r="Y24" s="16"/>
      <c r="Z24" s="16"/>
    </row>
    <row r="25" ht="9.75" customHeight="1">
      <c r="A25" s="16"/>
      <c r="B25" s="59"/>
      <c r="C25" s="60"/>
      <c r="D25" s="60"/>
      <c r="E25" s="60"/>
      <c r="F25" s="60"/>
      <c r="G25" s="60"/>
      <c r="H25" s="60"/>
      <c r="I25" s="60"/>
      <c r="J25" s="60"/>
      <c r="K25" s="60"/>
      <c r="L25" s="60"/>
      <c r="M25" s="60"/>
      <c r="N25" s="60"/>
      <c r="O25" s="60"/>
      <c r="P25" s="61"/>
      <c r="Q25" s="16"/>
      <c r="R25" s="16"/>
      <c r="S25" s="16"/>
      <c r="T25" s="16"/>
      <c r="U25" s="16"/>
      <c r="V25" s="16"/>
      <c r="W25" s="16"/>
      <c r="X25" s="16"/>
      <c r="Y25" s="16"/>
      <c r="Z25" s="16"/>
    </row>
    <row r="26" ht="19.5" customHeight="1">
      <c r="A26" s="16"/>
      <c r="B26" s="16"/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</row>
    <row r="27" ht="19.5" customHeight="1">
      <c r="A27" s="16"/>
      <c r="B27" s="16"/>
      <c r="C27" s="16"/>
      <c r="D27" s="16"/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</row>
    <row r="28" ht="19.5" customHeight="1">
      <c r="A28" s="16"/>
      <c r="B28" s="16"/>
      <c r="C28" s="16"/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</row>
    <row r="29" ht="19.5" customHeight="1">
      <c r="A29" s="16"/>
      <c r="B29" s="16"/>
      <c r="C29" s="16"/>
      <c r="D29" s="16"/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</row>
    <row r="30" ht="19.5" customHeight="1">
      <c r="A30" s="16"/>
      <c r="B30" s="16"/>
      <c r="C30" s="16"/>
      <c r="D30" s="16"/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</row>
    <row r="31" ht="19.5" customHeight="1">
      <c r="A31" s="16"/>
      <c r="B31" s="16"/>
      <c r="C31" s="16"/>
      <c r="D31" s="16"/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</row>
    <row r="32" ht="19.5" customHeight="1">
      <c r="A32" s="16"/>
      <c r="B32" s="16"/>
      <c r="C32" s="16"/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</row>
    <row r="33" ht="19.5" customHeight="1">
      <c r="A33" s="16"/>
      <c r="B33" s="16"/>
      <c r="C33" s="16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</row>
    <row r="34" ht="19.5" customHeight="1">
      <c r="C34" s="16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</row>
    <row r="35" ht="19.5" customHeight="1"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</row>
    <row r="36" ht="19.5" customHeight="1">
      <c r="C36" s="16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</row>
    <row r="37" ht="19.5" customHeight="1">
      <c r="C37" s="16"/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</row>
    <row r="38" ht="19.5" customHeight="1">
      <c r="C38" s="16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</row>
    <row r="39" ht="19.5" customHeight="1">
      <c r="C39" s="16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</row>
    <row r="40" ht="19.5" customHeight="1"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</row>
    <row r="41" ht="19.5" customHeight="1">
      <c r="C41" s="16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</row>
    <row r="42" ht="19.5" customHeight="1">
      <c r="C42" s="16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</row>
    <row r="43" ht="19.5" customHeight="1">
      <c r="C43" s="16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</row>
    <row r="44" ht="19.5" customHeight="1">
      <c r="C44" s="16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</row>
    <row r="45" ht="19.5" customHeight="1">
      <c r="C45" s="16"/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</row>
    <row r="46" ht="19.5" customHeight="1">
      <c r="C46" s="16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</row>
    <row r="47" ht="19.5" customHeight="1">
      <c r="C47" s="16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</row>
    <row r="48" ht="19.5" customHeight="1">
      <c r="C48" s="16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</row>
    <row r="49" ht="19.5" customHeight="1"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</row>
    <row r="50" ht="19.5" customHeight="1">
      <c r="C50" s="16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</row>
    <row r="51" ht="19.5" customHeight="1">
      <c r="C51" s="16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</row>
    <row r="52" ht="19.5" customHeight="1"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</row>
    <row r="53" ht="19.5" customHeight="1">
      <c r="C53" s="16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</row>
    <row r="54" ht="19.5" customHeight="1">
      <c r="C54" s="16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</row>
    <row r="55" ht="15.75" customHeight="1">
      <c r="C55" s="16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</row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1">
    <mergeCell ref="B6:P6"/>
    <mergeCell ref="E9:F9"/>
    <mergeCell ref="H9:I9"/>
    <mergeCell ref="E10:F10"/>
    <mergeCell ref="H10:I10"/>
    <mergeCell ref="E12:F12"/>
    <mergeCell ref="E13:F13"/>
    <mergeCell ref="C15:C17"/>
    <mergeCell ref="C19:D20"/>
    <mergeCell ref="C22:D24"/>
    <mergeCell ref="E22:H24"/>
    <mergeCell ref="J22:K24"/>
    <mergeCell ref="L22:O24"/>
    <mergeCell ref="H12:I12"/>
    <mergeCell ref="H13:I13"/>
    <mergeCell ref="D15:E17"/>
    <mergeCell ref="G15:G17"/>
    <mergeCell ref="H15:J17"/>
    <mergeCell ref="L15:L17"/>
    <mergeCell ref="M15:O17"/>
    <mergeCell ref="E19:O20"/>
  </mergeCells>
  <conditionalFormatting sqref="H10:I11">
    <cfRule type="cellIs" dxfId="0" priority="1" operator="equal">
      <formula>"Atrasado"</formula>
    </cfRule>
  </conditionalFormatting>
  <conditionalFormatting sqref="H10:I11">
    <cfRule type="cellIs" dxfId="1" priority="2" operator="equal">
      <formula>"Terminado"</formula>
    </cfRule>
  </conditionalFormatting>
  <conditionalFormatting sqref="H10:I11">
    <cfRule type="cellIs" dxfId="2" priority="3" operator="equal">
      <formula>"En proceso"</formula>
    </cfRule>
  </conditionalFormatting>
  <conditionalFormatting sqref="H10:I11">
    <cfRule type="cellIs" dxfId="1" priority="4" operator="equal">
      <formula>"No Iniciado"</formula>
    </cfRule>
  </conditionalFormatting>
  <dataValidations>
    <dataValidation type="list" allowBlank="1" showErrorMessage="1" sqref="C10:C11">
      <formula1>'Formato descripción HU'!$B$6:$B$13</formula1>
    </dataValidation>
  </dataValidations>
  <printOptions horizontalCentered="1"/>
  <pageMargins bottom="0.7480314960629921" footer="0.0" header="0.0" left="0.7086614173228347" right="0.7086614173228347" top="0.7480314960629921"/>
  <pageSetup paperSize="9"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2025-11-11T12:29:14Z</dcterms:created>
  <dc:creator>DYNABOOK</dc:creator>
</cp:coreProperties>
</file>