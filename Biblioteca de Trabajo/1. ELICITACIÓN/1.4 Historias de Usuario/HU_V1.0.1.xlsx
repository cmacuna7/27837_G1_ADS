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bner\Desktop\Github\27837_G1_ADS\Biblioteca de Trabajo\1. ELICITACIÓN\1.4 Historias de Usuario\"/>
    </mc:Choice>
  </mc:AlternateContent>
  <xr:revisionPtr revIDLastSave="0" documentId="13_ncr:1_{75937EF2-00C8-48C8-BBEB-FEA6D8DA76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zqQjEeih5K8NWczfqLGaZHv5HRqGCKJmm/RpsPz/4HQ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<sst xmlns="http://schemas.openxmlformats.org/spreadsheetml/2006/main" count="90" uniqueCount="71">
  <si>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</si>
  <si>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</si>
  <si>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</si>
  <si>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</si>
  <si>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</si>
  <si>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</si>
  <si>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</si>
  <si>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</si>
  <si>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</si>
  <si>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</si>
  <si>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</si>
  <si>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</si>
  <si>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</si>
  <si>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</si>
  <si>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</si>
  <si>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RF01</t>
  </si>
  <si>
    <t>El usuario no tiene forma de registrar nuevos medicamentos.</t>
  </si>
  <si>
    <t>Crear un medicamento con todos sus datos.</t>
  </si>
  <si>
    <t>Para iniciar la gestión y control del tratamiento.</t>
  </si>
  <si>
    <t>Usuario adulto mayor / Cuidador</t>
  </si>
  <si>
    <t>Ingresar nombre, presentación, dosis, frecuencia, horario, duración, notas e ícono.</t>
  </si>
  <si>
    <t>Marcelo Acuña</t>
  </si>
  <si>
    <t>Alta</t>
  </si>
  <si>
    <t>No iniciado</t>
  </si>
  <si>
    <t>Validación de campos obligatorios y mensaje “Medicamento registrado exitosamente”.</t>
  </si>
  <si>
    <t>CRUD - Crear</t>
  </si>
  <si>
    <t>Crear medicamento</t>
  </si>
  <si>
    <t>RF02</t>
  </si>
  <si>
    <t>El usuario no puede ver la información de los medicamentos que registró.</t>
  </si>
  <si>
    <t>Consultar la lista de medicamentos.</t>
  </si>
  <si>
    <t>Para revisar rápidamente horarios, dosis y próximas tomas.</t>
  </si>
  <si>
    <t>Mostrar lista con nombre, dosis, frecuencia, ícono y detalles.</t>
  </si>
  <si>
    <t>Se muestra la lista completa y coincide con la base registrada.</t>
  </si>
  <si>
    <t>CRUD - Leer</t>
  </si>
  <si>
    <t>Consultar medicamentos</t>
  </si>
  <si>
    <t>RF03</t>
  </si>
  <si>
    <t>El usuario no puede corregir ni actualizar medicamentos ya registrados.</t>
  </si>
  <si>
    <t>Editar datos de un medicamento existente.</t>
  </si>
  <si>
    <t>Para mantener la información actualizada y evitar errores.</t>
  </si>
  <si>
    <t>Seleccionar medicamento, modificar campos y guardar cambios.</t>
  </si>
  <si>
    <t>Datos actualizados visibles; mensaje “Cambios guardados correctamente”.</t>
  </si>
  <si>
    <t>CRUD - Actualizar</t>
  </si>
  <si>
    <t>Editar medicamento</t>
  </si>
  <si>
    <t>RF04</t>
  </si>
  <si>
    <t>Medicamentos que ya no se usan siguen apareciendo en el sistema.</t>
  </si>
  <si>
    <t>Eliminar un medicamento registrado.</t>
  </si>
  <si>
    <t>Para limpiar la lista y evitar confusiones.</t>
  </si>
  <si>
    <t>Seleccionar medicamento, elegir “Eliminar”, confirmar acción.</t>
  </si>
  <si>
    <t>0.5</t>
  </si>
  <si>
    <t>El registro desaparece y se muestra mensaje “Eliminado correctamente”.</t>
  </si>
  <si>
    <t>CRUD - Eliminar</t>
  </si>
  <si>
    <t>Eliminar medicamento</t>
  </si>
  <si>
    <t>RF05</t>
  </si>
  <si>
    <t>El usuario olvida tomar la medicación a tiempo.</t>
  </si>
  <si>
    <t>Generar recordatorios automáticos con alertas visuales, sonoras y por vibración.</t>
  </si>
  <si>
    <t>Para garantizar la adherencia al tratamiento médico.</t>
  </si>
  <si>
    <t>Usuario adulto mayor</t>
  </si>
  <si>
    <t>El sistema genera una alerta a la hora programada; el usuario marca como tomada, pospone o indica omisión.</t>
  </si>
  <si>
    <t>Se comprueba que la notificación aparezca incluso con la pantalla bloqueada y persista hasta acción del usuario.</t>
  </si>
  <si>
    <t>Vital para la adherencia al tratamiento.</t>
  </si>
  <si>
    <t>Recordatorios de medicación</t>
  </si>
  <si>
    <t>RF07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</si>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</sst>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9" fillId="5" borderId="5" xfId="0" applyFont="1" applyFill="1" applyBorder="1"/>
    <xf numFmtId="0" fontId="6" fillId="5" borderId="6" xfId="0" applyFont="1" applyFill="1" applyBorder="1" applyAlignment="1">
      <alignment horizontal="left" vertical="center" wrapText="1"/>
    </xf>
    <xf numFmtId="0" fontId="7" fillId="5" borderId="6" xfId="0" applyFont="1" applyFill="1" applyBorder="1"/>
    <xf numFmtId="0" fontId="9" fillId="5" borderId="6" xfId="0" applyFont="1" applyFill="1" applyBorder="1"/>
    <xf numFmtId="0" fontId="9" fillId="5" borderId="7" xfId="0" applyFont="1" applyFill="1" applyBorder="1"/>
    <xf numFmtId="0" fontId="9" fillId="5" borderId="8" xfId="0" applyFont="1" applyFill="1" applyBorder="1"/>
    <xf numFmtId="0" fontId="10" fillId="6" borderId="4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vertical="center"/>
    </xf>
    <xf numFmtId="0" fontId="9" fillId="5" borderId="9" xfId="0" applyFont="1" applyFill="1" applyBorder="1"/>
    <xf numFmtId="0" fontId="9" fillId="5" borderId="10" xfId="0" applyFont="1" applyFill="1" applyBorder="1"/>
    <xf numFmtId="0" fontId="12" fillId="7" borderId="4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 wrapText="1"/>
    </xf>
    <xf numFmtId="0" fontId="7" fillId="5" borderId="9" xfId="0" applyFont="1" applyFill="1" applyBorder="1" applyAlignment="1">
      <alignment vertical="center"/>
    </xf>
    <xf numFmtId="0" fontId="12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/>
    </xf>
    <xf numFmtId="0" fontId="9" fillId="5" borderId="28" xfId="0" applyFont="1" applyFill="1" applyBorder="1"/>
    <xf numFmtId="0" fontId="9" fillId="5" borderId="29" xfId="0" applyFont="1" applyFill="1" applyBorder="1"/>
    <xf numFmtId="0" fontId="9" fillId="5" borderId="30" xfId="0" applyFont="1" applyFill="1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0" fillId="8" borderId="11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8" xfId="0" applyFont="1" applyBorder="1"/>
    <xf numFmtId="0" fontId="13" fillId="9" borderId="12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9" xfId="0" applyFont="1" applyBorder="1"/>
    <xf numFmtId="0" fontId="3" fillId="0" borderId="20" xfId="0" applyFont="1" applyBorder="1"/>
    <xf numFmtId="0" fontId="10" fillId="6" borderId="12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7" xfId="0" applyFont="1" applyBorder="1"/>
    <xf numFmtId="49" fontId="7" fillId="7" borderId="12" xfId="0" applyNumberFormat="1" applyFont="1" applyFill="1" applyBorder="1" applyAlignment="1">
      <alignment horizontal="left" vertical="center" wrapText="1"/>
    </xf>
    <xf numFmtId="0" fontId="3" fillId="0" borderId="14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3" fillId="0" borderId="16" xfId="0" applyFont="1" applyBorder="1" applyAlignment="1">
      <alignment wrapText="1"/>
    </xf>
    <xf numFmtId="0" fontId="0" fillId="0" borderId="0" xfId="0" applyFont="1" applyAlignment="1">
      <alignment wrapText="1"/>
    </xf>
    <xf numFmtId="0" fontId="3" fillId="0" borderId="17" xfId="0" applyFont="1" applyBorder="1" applyAlignment="1">
      <alignment wrapText="1"/>
    </xf>
    <xf numFmtId="0" fontId="3" fillId="0" borderId="19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20" xfId="0" applyFont="1" applyBorder="1" applyAlignment="1">
      <alignment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7" fillId="7" borderId="1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0" fillId="0" borderId="0" xfId="0" applyFont="1" applyAlignment="1"/>
    <xf numFmtId="0" fontId="3" fillId="0" borderId="21" xfId="0" applyFont="1" applyBorder="1"/>
    <xf numFmtId="0" fontId="7" fillId="7" borderId="12" xfId="0" applyFont="1" applyFill="1" applyBorder="1" applyAlignment="1">
      <alignment horizontal="left" vertical="center" wrapText="1"/>
    </xf>
    <xf numFmtId="0" fontId="12" fillId="2" borderId="22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74"/>
  <sheetViews>
    <sheetView showGridLines="0" tabSelected="1" topLeftCell="A7" zoomScale="70" zoomScaleNormal="70" workbookViewId="0">
      <selection activeCell="B11" sqref="B11:O12"/>
    </sheetView>
  </sheetViews>
  <sheetFormatPr baseColWidth="10" defaultColWidth="12.59765625" defaultRowHeight="15" customHeight="1" x14ac:dyDescent="0.25"/>
  <cols>
    <col min="1" max="1" width="4.59765625" customWidth="1"/>
    <col min="2" max="2" width="6.59765625" customWidth="1"/>
    <col min="3" max="5" width="20.59765625" customWidth="1"/>
    <col min="6" max="6" width="13.09765625" customWidth="1"/>
    <col min="7" max="7" width="32.5" customWidth="1"/>
    <col min="8" max="12" width="10.59765625" customWidth="1"/>
    <col min="13" max="13" width="32.69921875" customWidth="1"/>
    <col min="14" max="15" width="20.59765625" customWidth="1"/>
    <col min="16" max="26" width="9.3984375" customWidth="1"/>
  </cols>
  <sheetData>
    <row r="1" spans="1:26" ht="13.8" x14ac:dyDescent="0.2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8" x14ac:dyDescent="0.2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25">
      <c r="A3" s="1"/>
      <c r="B3" s="34" t="s">
        <v>0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8" x14ac:dyDescent="0.25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25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75.75" customHeight="1" x14ac:dyDescent="0.25">
      <c r="A6" s="1"/>
      <c r="B6" s="5" t="s">
        <v>15</v>
      </c>
      <c r="C6" s="6" t="s">
        <v>16</v>
      </c>
      <c r="D6" s="6" t="s">
        <v>17</v>
      </c>
      <c r="E6" s="6" t="s">
        <v>18</v>
      </c>
      <c r="F6" s="6" t="s">
        <v>19</v>
      </c>
      <c r="G6" s="6" t="s">
        <v>20</v>
      </c>
      <c r="H6" s="6" t="s">
        <v>21</v>
      </c>
      <c r="I6" s="6">
        <v>45778</v>
      </c>
      <c r="J6" s="7">
        <v>45979</v>
      </c>
      <c r="K6" s="8" t="s">
        <v>22</v>
      </c>
      <c r="L6" s="6" t="s">
        <v>23</v>
      </c>
      <c r="M6" s="9" t="s">
        <v>24</v>
      </c>
      <c r="N6" s="6" t="s">
        <v>25</v>
      </c>
      <c r="O6" s="6" t="s">
        <v>26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5.75" customHeight="1" x14ac:dyDescent="0.25">
      <c r="A7" s="1"/>
      <c r="B7" s="5" t="s">
        <v>27</v>
      </c>
      <c r="C7" s="6" t="s">
        <v>28</v>
      </c>
      <c r="D7" s="6" t="s">
        <v>29</v>
      </c>
      <c r="E7" s="6" t="s">
        <v>30</v>
      </c>
      <c r="F7" s="6" t="s">
        <v>19</v>
      </c>
      <c r="G7" s="6" t="s">
        <v>31</v>
      </c>
      <c r="H7" s="6" t="s">
        <v>21</v>
      </c>
      <c r="I7" s="6">
        <v>1</v>
      </c>
      <c r="J7" s="7">
        <v>45980</v>
      </c>
      <c r="K7" s="8" t="s">
        <v>22</v>
      </c>
      <c r="L7" s="6" t="s">
        <v>23</v>
      </c>
      <c r="M7" s="9" t="s">
        <v>32</v>
      </c>
      <c r="N7" s="6" t="s">
        <v>33</v>
      </c>
      <c r="O7" s="6" t="s">
        <v>34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75.75" customHeight="1" x14ac:dyDescent="0.25">
      <c r="A8" s="1"/>
      <c r="B8" s="5" t="s">
        <v>35</v>
      </c>
      <c r="C8" s="6" t="s">
        <v>36</v>
      </c>
      <c r="D8" s="6" t="s">
        <v>37</v>
      </c>
      <c r="E8" s="6" t="s">
        <v>38</v>
      </c>
      <c r="F8" s="6" t="s">
        <v>19</v>
      </c>
      <c r="G8" s="6" t="s">
        <v>39</v>
      </c>
      <c r="H8" s="6" t="s">
        <v>21</v>
      </c>
      <c r="I8" s="6">
        <v>45778</v>
      </c>
      <c r="J8" s="7">
        <v>45981</v>
      </c>
      <c r="K8" s="8" t="s">
        <v>22</v>
      </c>
      <c r="L8" s="6" t="s">
        <v>23</v>
      </c>
      <c r="M8" s="9" t="s">
        <v>40</v>
      </c>
      <c r="N8" s="6" t="s">
        <v>41</v>
      </c>
      <c r="O8" s="6" t="s">
        <v>42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75.75" customHeight="1" x14ac:dyDescent="0.25">
      <c r="A9" s="1"/>
      <c r="B9" s="5" t="s">
        <v>43</v>
      </c>
      <c r="C9" s="6" t="s">
        <v>44</v>
      </c>
      <c r="D9" s="6" t="s">
        <v>45</v>
      </c>
      <c r="E9" s="6" t="s">
        <v>46</v>
      </c>
      <c r="F9" s="6" t="s">
        <v>19</v>
      </c>
      <c r="G9" s="6" t="s">
        <v>47</v>
      </c>
      <c r="H9" s="6" t="s">
        <v>21</v>
      </c>
      <c r="I9" s="6" t="s">
        <v>48</v>
      </c>
      <c r="J9" s="7">
        <v>45982</v>
      </c>
      <c r="K9" s="8" t="s">
        <v>22</v>
      </c>
      <c r="L9" s="6" t="s">
        <v>23</v>
      </c>
      <c r="M9" s="9" t="s">
        <v>49</v>
      </c>
      <c r="N9" s="6" t="s">
        <v>50</v>
      </c>
      <c r="O9" s="6" t="s">
        <v>51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75.75" customHeight="1" x14ac:dyDescent="0.25">
      <c r="A10" s="1"/>
      <c r="B10" s="5" t="s">
        <v>52</v>
      </c>
      <c r="C10" s="6" t="s">
        <v>53</v>
      </c>
      <c r="D10" s="6" t="s">
        <v>54</v>
      </c>
      <c r="E10" s="6" t="s">
        <v>55</v>
      </c>
      <c r="F10" s="6" t="s">
        <v>56</v>
      </c>
      <c r="G10" s="6" t="s">
        <v>57</v>
      </c>
      <c r="H10" s="6" t="s">
        <v>21</v>
      </c>
      <c r="I10" s="6">
        <v>5</v>
      </c>
      <c r="J10" s="7">
        <v>45983</v>
      </c>
      <c r="K10" s="8" t="s">
        <v>22</v>
      </c>
      <c r="L10" s="6" t="s">
        <v>23</v>
      </c>
      <c r="M10" s="9" t="s">
        <v>58</v>
      </c>
      <c r="N10" s="6" t="s">
        <v>59</v>
      </c>
      <c r="O10" s="6" t="s">
        <v>60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25">
      <c r="A11" s="1"/>
      <c r="B11" s="1"/>
      <c r="C11" s="1"/>
      <c r="D11" s="1"/>
      <c r="E11" s="1"/>
      <c r="F11" s="1"/>
      <c r="G11" s="1"/>
      <c r="H11" s="1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25">
      <c r="A12" s="1"/>
      <c r="B12" s="1"/>
      <c r="C12" s="1"/>
      <c r="D12" s="1"/>
      <c r="E12" s="1"/>
      <c r="F12" s="1"/>
      <c r="G12" s="1"/>
      <c r="H12" s="1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"/>
      <c r="B13" s="1"/>
      <c r="C13" s="1"/>
      <c r="D13" s="1"/>
      <c r="E13" s="1"/>
      <c r="F13" s="1"/>
      <c r="G13" s="1"/>
      <c r="H13" s="1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1"/>
      <c r="B14" s="1"/>
      <c r="C14" s="1"/>
      <c r="D14" s="1"/>
      <c r="E14" s="1"/>
      <c r="F14" s="1"/>
      <c r="G14" s="1"/>
      <c r="H14" s="1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/>
      <c r="B19" s="1"/>
      <c r="C19" s="1"/>
      <c r="D19" s="1"/>
      <c r="E19" s="1"/>
      <c r="F19" s="1"/>
      <c r="G19" s="1"/>
      <c r="H19" s="1"/>
      <c r="I19" s="2"/>
      <c r="J19" s="2"/>
      <c r="K19" s="3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/>
      <c r="B20" s="1"/>
      <c r="C20" s="1"/>
      <c r="D20" s="1"/>
      <c r="E20" s="1"/>
      <c r="F20" s="1"/>
      <c r="G20" s="1"/>
      <c r="H20" s="1"/>
      <c r="I20" s="2"/>
      <c r="J20" s="2"/>
      <c r="K20" s="3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2"/>
      <c r="J21" s="2"/>
      <c r="K21" s="3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2"/>
      <c r="J22" s="2"/>
      <c r="K22" s="3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2"/>
      <c r="J23" s="2"/>
      <c r="K23" s="3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2"/>
      <c r="J24" s="2"/>
      <c r="K24" s="3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2"/>
      <c r="J25" s="2"/>
      <c r="K25" s="3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2"/>
      <c r="J26" s="2"/>
      <c r="K26" s="3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2"/>
      <c r="J27" s="2"/>
      <c r="K27" s="3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2"/>
      <c r="J28" s="2"/>
      <c r="K28" s="3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2"/>
      <c r="J29" s="2"/>
      <c r="K29" s="3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2"/>
      <c r="J30" s="2"/>
      <c r="K30" s="3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2"/>
      <c r="J31" s="2"/>
      <c r="K31" s="3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2"/>
      <c r="J32" s="2"/>
      <c r="K32" s="3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2"/>
      <c r="J33" s="2"/>
      <c r="K33" s="3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2"/>
      <c r="J34" s="2"/>
      <c r="K34" s="3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2"/>
      <c r="J35" s="2"/>
      <c r="K35" s="3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2"/>
      <c r="J36" s="2"/>
      <c r="K36" s="3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2"/>
      <c r="J37" s="2"/>
      <c r="K37" s="3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2"/>
      <c r="J38" s="2"/>
      <c r="K38" s="3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2"/>
      <c r="J39" s="2"/>
      <c r="K39" s="3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2"/>
      <c r="J40" s="2"/>
      <c r="K40" s="3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2"/>
      <c r="J41" s="2"/>
      <c r="K41" s="3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2"/>
      <c r="J42" s="2"/>
      <c r="K42" s="3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2"/>
      <c r="J43" s="2"/>
      <c r="K43" s="3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2"/>
      <c r="J44" s="2"/>
      <c r="K44" s="3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2"/>
      <c r="J45" s="2"/>
      <c r="K45" s="3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2"/>
      <c r="J46" s="2"/>
      <c r="K46" s="3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2"/>
      <c r="J47" s="2"/>
      <c r="K47" s="3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2"/>
      <c r="J48" s="2"/>
      <c r="K48" s="3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2"/>
      <c r="J49" s="2"/>
      <c r="K49" s="3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2"/>
      <c r="J50" s="2"/>
      <c r="K50" s="3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2"/>
      <c r="J51" s="2"/>
      <c r="K51" s="3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2"/>
      <c r="J52" s="2"/>
      <c r="K52" s="3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2"/>
      <c r="J53" s="2"/>
      <c r="K53" s="3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2"/>
      <c r="J54" s="2"/>
      <c r="K54" s="3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2"/>
      <c r="J55" s="2"/>
      <c r="K55" s="3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2"/>
      <c r="J56" s="2"/>
      <c r="K56" s="3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2"/>
      <c r="J57" s="2"/>
      <c r="K57" s="3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2"/>
      <c r="J58" s="2"/>
      <c r="K58" s="3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2"/>
      <c r="J59" s="2"/>
      <c r="K59" s="3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2"/>
      <c r="J60" s="2"/>
      <c r="K60" s="3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2"/>
      <c r="J61" s="2"/>
      <c r="K61" s="3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2"/>
      <c r="J62" s="2"/>
      <c r="K62" s="3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2"/>
      <c r="J63" s="2"/>
      <c r="K63" s="3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2"/>
      <c r="J64" s="2"/>
      <c r="K64" s="3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2"/>
      <c r="J65" s="2"/>
      <c r="K65" s="3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2"/>
      <c r="J66" s="2"/>
      <c r="K66" s="3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2"/>
      <c r="J67" s="2"/>
      <c r="K67" s="3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2"/>
      <c r="J68" s="2"/>
      <c r="K68" s="3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2"/>
      <c r="J69" s="2"/>
      <c r="K69" s="3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2"/>
      <c r="J70" s="2"/>
      <c r="K70" s="3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2"/>
      <c r="J71" s="2"/>
      <c r="K71" s="3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2"/>
      <c r="J72" s="2"/>
      <c r="K72" s="3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2"/>
      <c r="J73" s="2"/>
      <c r="K73" s="3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2"/>
      <c r="J74" s="2"/>
      <c r="K74" s="3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2"/>
      <c r="J75" s="2"/>
      <c r="K75" s="3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2"/>
      <c r="J76" s="2"/>
      <c r="K76" s="3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2"/>
      <c r="J77" s="2"/>
      <c r="K77" s="3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2"/>
      <c r="J78" s="2"/>
      <c r="K78" s="3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2"/>
      <c r="J79" s="2"/>
      <c r="K79" s="3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2"/>
      <c r="J80" s="2"/>
      <c r="K80" s="3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2"/>
      <c r="J81" s="2"/>
      <c r="K81" s="3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2"/>
      <c r="J82" s="2"/>
      <c r="K82" s="3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2"/>
      <c r="J83" s="2"/>
      <c r="K83" s="3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2"/>
      <c r="J84" s="2"/>
      <c r="K84" s="3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2"/>
      <c r="J85" s="2"/>
      <c r="K85" s="3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2"/>
      <c r="J86" s="2"/>
      <c r="K86" s="3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2"/>
      <c r="J87" s="2"/>
      <c r="K87" s="3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2"/>
      <c r="J88" s="2"/>
      <c r="K88" s="3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2"/>
      <c r="J89" s="2"/>
      <c r="K89" s="3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2"/>
      <c r="J90" s="2"/>
      <c r="K90" s="3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2"/>
      <c r="J91" s="2"/>
      <c r="K91" s="3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2"/>
      <c r="J92" s="2"/>
      <c r="K92" s="3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2"/>
      <c r="J93" s="2"/>
      <c r="K93" s="3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2"/>
      <c r="J94" s="2"/>
      <c r="K94" s="3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2"/>
      <c r="J95" s="2"/>
      <c r="K95" s="3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2"/>
      <c r="J96" s="2"/>
      <c r="K96" s="3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2"/>
      <c r="J97" s="2"/>
      <c r="K97" s="3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2"/>
      <c r="J98" s="2"/>
      <c r="K98" s="3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2"/>
      <c r="J99" s="2"/>
      <c r="K99" s="3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3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3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3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3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3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3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3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3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3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3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3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3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3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3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3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3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3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3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3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3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3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3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3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3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3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3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3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3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3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3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3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3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3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3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3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3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3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3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3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3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3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3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3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3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3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3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3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3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3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3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3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3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3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3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3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3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3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3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3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3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3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3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3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3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3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3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3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3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3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3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3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3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3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3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3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3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3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3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3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3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3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3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3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3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3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3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3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3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3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3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3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3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3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3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3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3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3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3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3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3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3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3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3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3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3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3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3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3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3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3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3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/>
    <row r="212" spans="1:26" ht="15.75" customHeight="1" x14ac:dyDescent="0.25"/>
    <row r="213" spans="1:26" ht="15.75" customHeight="1" x14ac:dyDescent="0.25"/>
    <row r="214" spans="1:26" ht="15.75" customHeight="1" x14ac:dyDescent="0.25"/>
    <row r="215" spans="1:26" ht="15.75" customHeight="1" x14ac:dyDescent="0.25"/>
    <row r="216" spans="1:26" ht="15.75" customHeight="1" x14ac:dyDescent="0.25"/>
    <row r="217" spans="1:26" ht="15.75" customHeight="1" x14ac:dyDescent="0.25"/>
    <row r="218" spans="1:26" ht="15.75" customHeight="1" x14ac:dyDescent="0.25"/>
    <row r="219" spans="1:26" ht="15.75" customHeight="1" x14ac:dyDescent="0.25"/>
    <row r="220" spans="1:26" ht="15.75" customHeight="1" x14ac:dyDescent="0.25"/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</sheetData>
  <mergeCells count="1">
    <mergeCell ref="B3:O3"/>
  </mergeCells>
  <conditionalFormatting sqref="L15:L18 L6:L10">
    <cfRule type="colorScale" priority="1">
      <colorScale>
        <cfvo type="min"/>
        <cfvo type="max"/>
        <color rgb="FF57BB8A"/>
        <color rgb="FFFFFFFF"/>
      </colorScale>
    </cfRule>
  </conditionalFormatting>
  <conditionalFormatting sqref="L6:L9">
    <cfRule type="colorScale" priority="6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ErrorMessage="1" sqref="K10:L10" xr:uid="{00000000-0002-0000-0000-000000000000}">
      <formula1>#REF!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00"/>
  <sheetViews>
    <sheetView showGridLines="0" topLeftCell="A9" workbookViewId="0">
      <selection activeCell="C10" sqref="C10"/>
    </sheetView>
  </sheetViews>
  <sheetFormatPr baseColWidth="10" defaultColWidth="12.59765625" defaultRowHeight="15" customHeight="1" x14ac:dyDescent="0.25"/>
  <cols>
    <col min="1" max="1" width="9.3984375" customWidth="1"/>
    <col min="2" max="2" width="2.59765625" customWidth="1"/>
    <col min="3" max="15" width="10.59765625" customWidth="1"/>
    <col min="16" max="16" width="2.59765625" customWidth="1"/>
    <col min="17" max="26" width="9.3984375" customWidth="1"/>
  </cols>
  <sheetData>
    <row r="2" spans="1:26" ht="15" hidden="1" customHeight="1" x14ac:dyDescent="0.25"/>
    <row r="3" spans="1:26" ht="15" hidden="1" customHeight="1" x14ac:dyDescent="0.25"/>
    <row r="4" spans="1:26" ht="14.4" hidden="1" x14ac:dyDescent="0.3">
      <c r="C4" s="10"/>
      <c r="D4" s="10"/>
      <c r="E4" s="10"/>
      <c r="F4" s="11"/>
    </row>
    <row r="5" spans="1:26" ht="14.4" hidden="1" x14ac:dyDescent="0.3">
      <c r="C5" s="10"/>
      <c r="D5" s="10"/>
      <c r="E5" s="10"/>
      <c r="F5" s="11"/>
    </row>
    <row r="6" spans="1:26" ht="39.75" customHeight="1" x14ac:dyDescent="0.25">
      <c r="B6" s="56" t="s">
        <v>62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6"/>
    </row>
    <row r="7" spans="1:26" ht="9.75" customHeight="1" x14ac:dyDescent="0.25">
      <c r="A7" s="12"/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9.75" customHeight="1" x14ac:dyDescent="0.3">
      <c r="B8" s="14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8"/>
      <c r="Q8" s="12"/>
    </row>
    <row r="9" spans="1:26" ht="30" customHeight="1" x14ac:dyDescent="0.25">
      <c r="B9" s="19"/>
      <c r="C9" s="20" t="s">
        <v>1</v>
      </c>
      <c r="D9" s="21"/>
      <c r="E9" s="57" t="s">
        <v>63</v>
      </c>
      <c r="F9" s="36"/>
      <c r="G9" s="21"/>
      <c r="H9" s="57" t="s">
        <v>11</v>
      </c>
      <c r="I9" s="36"/>
      <c r="J9" s="22"/>
      <c r="K9" s="22"/>
      <c r="L9" s="22"/>
      <c r="M9" s="22"/>
      <c r="N9" s="22"/>
      <c r="O9" s="22"/>
      <c r="P9" s="23"/>
      <c r="Q9" s="12"/>
    </row>
    <row r="10" spans="1:26" ht="30" customHeight="1" x14ac:dyDescent="0.25">
      <c r="B10" s="19"/>
      <c r="C10" s="24" t="s">
        <v>61</v>
      </c>
      <c r="D10" s="25"/>
      <c r="E10" s="58" t="e">
        <f>VLOOKUP(C10,'Formato descripción HU'!B6:O10,5,0)</f>
        <v>#N/A</v>
      </c>
      <c r="F10" s="59"/>
      <c r="G10" s="26"/>
      <c r="H10" s="60" t="e">
        <f>VLOOKUP(C10,'Formato descripción HU'!B6:O10,11,0)</f>
        <v>#N/A</v>
      </c>
      <c r="I10" s="36"/>
      <c r="J10" s="26"/>
      <c r="K10" s="22"/>
      <c r="L10" s="22"/>
      <c r="M10" s="22"/>
      <c r="N10" s="22"/>
      <c r="O10" s="22"/>
      <c r="P10" s="23"/>
      <c r="Q10" s="12"/>
    </row>
    <row r="11" spans="1:26" ht="9.75" customHeight="1" x14ac:dyDescent="0.25">
      <c r="A11" s="12"/>
      <c r="B11" s="19"/>
      <c r="C11" s="27"/>
      <c r="D11" s="25"/>
      <c r="E11" s="28"/>
      <c r="F11" s="28"/>
      <c r="G11" s="26"/>
      <c r="H11" s="28"/>
      <c r="I11" s="28"/>
      <c r="J11" s="26"/>
      <c r="K11" s="28"/>
      <c r="L11" s="28"/>
      <c r="M11" s="22"/>
      <c r="N11" s="28"/>
      <c r="O11" s="28"/>
      <c r="P11" s="23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30" customHeight="1" x14ac:dyDescent="0.25">
      <c r="A12" s="12"/>
      <c r="B12" s="19"/>
      <c r="C12" s="20" t="s">
        <v>64</v>
      </c>
      <c r="D12" s="25"/>
      <c r="E12" s="57" t="s">
        <v>10</v>
      </c>
      <c r="F12" s="36"/>
      <c r="G12" s="26"/>
      <c r="H12" s="57" t="s">
        <v>65</v>
      </c>
      <c r="I12" s="36"/>
      <c r="J12" s="26"/>
      <c r="K12" s="28"/>
      <c r="L12" s="28"/>
      <c r="M12" s="22"/>
      <c r="N12" s="28"/>
      <c r="O12" s="28"/>
      <c r="P12" s="23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30" customHeight="1" x14ac:dyDescent="0.25">
      <c r="A13" s="12"/>
      <c r="B13" s="19"/>
      <c r="C13" s="29" t="e">
        <f>VLOOKUP('Historia de Usuario'!C10,'Formato descripción HU'!B6:O10,8,0)</f>
        <v>#N/A</v>
      </c>
      <c r="D13" s="25"/>
      <c r="E13" s="60" t="e">
        <f>VLOOKUP(C10,'Formato descripción HU'!B6:O10,10,0)</f>
        <v>#N/A</v>
      </c>
      <c r="F13" s="36"/>
      <c r="G13" s="26"/>
      <c r="H13" s="60" t="e">
        <f>VLOOKUP(C10,'Formato descripción HU'!B6:O10,7,0)</f>
        <v>#N/A</v>
      </c>
      <c r="I13" s="36"/>
      <c r="J13" s="26"/>
      <c r="K13" s="28"/>
      <c r="L13" s="28"/>
      <c r="M13" s="22"/>
      <c r="N13" s="28"/>
      <c r="O13" s="28"/>
      <c r="P13" s="23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9.75" customHeight="1" x14ac:dyDescent="0.25">
      <c r="A14" s="12"/>
      <c r="B14" s="19"/>
      <c r="C14" s="22"/>
      <c r="D14" s="25"/>
      <c r="E14" s="22"/>
      <c r="F14" s="22"/>
      <c r="G14" s="26"/>
      <c r="H14" s="26"/>
      <c r="I14" s="22"/>
      <c r="J14" s="22"/>
      <c r="K14" s="22"/>
      <c r="L14" s="22"/>
      <c r="M14" s="22"/>
      <c r="N14" s="22"/>
      <c r="O14" s="22"/>
      <c r="P14" s="23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9.5" customHeight="1" x14ac:dyDescent="0.25">
      <c r="A15" s="12"/>
      <c r="B15" s="19"/>
      <c r="C15" s="37" t="s">
        <v>66</v>
      </c>
      <c r="D15" s="61" t="e">
        <f>VLOOKUP(C10,'Formato descripción HU'!B6:O10,3,0)</f>
        <v>#N/A</v>
      </c>
      <c r="E15" s="41"/>
      <c r="F15" s="30"/>
      <c r="G15" s="37" t="s">
        <v>67</v>
      </c>
      <c r="H15" s="61" t="e">
        <f>VLOOKUP(C10,'Formato descripción HU'!B6:O10,4,0)</f>
        <v>#N/A</v>
      </c>
      <c r="I15" s="62"/>
      <c r="J15" s="41"/>
      <c r="K15" s="30"/>
      <c r="L15" s="37" t="s">
        <v>68</v>
      </c>
      <c r="M15" s="65" t="e">
        <f>VLOOKUP(C10,'Formato descripción HU'!B6:O10,6,0)</f>
        <v>#N/A</v>
      </c>
      <c r="N15" s="48"/>
      <c r="O15" s="49"/>
      <c r="P15" s="23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9.5" customHeight="1" x14ac:dyDescent="0.25">
      <c r="A16" s="12"/>
      <c r="B16" s="19"/>
      <c r="C16" s="38"/>
      <c r="D16" s="45"/>
      <c r="E16" s="46"/>
      <c r="F16" s="30"/>
      <c r="G16" s="38"/>
      <c r="H16" s="45"/>
      <c r="I16" s="63"/>
      <c r="J16" s="46"/>
      <c r="K16" s="30"/>
      <c r="L16" s="38"/>
      <c r="M16" s="50"/>
      <c r="N16" s="51"/>
      <c r="O16" s="52"/>
      <c r="P16" s="23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9.5" customHeight="1" x14ac:dyDescent="0.25">
      <c r="A17" s="12"/>
      <c r="B17" s="19"/>
      <c r="C17" s="39"/>
      <c r="D17" s="42"/>
      <c r="E17" s="43"/>
      <c r="F17" s="30"/>
      <c r="G17" s="39"/>
      <c r="H17" s="42"/>
      <c r="I17" s="64"/>
      <c r="J17" s="43"/>
      <c r="K17" s="30"/>
      <c r="L17" s="39"/>
      <c r="M17" s="53"/>
      <c r="N17" s="54"/>
      <c r="O17" s="55"/>
      <c r="P17" s="23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9.75" customHeight="1" x14ac:dyDescent="0.25">
      <c r="A18" s="12"/>
      <c r="B18" s="19"/>
      <c r="C18" s="22"/>
      <c r="D18" s="22"/>
      <c r="E18" s="22"/>
      <c r="F18" s="22"/>
      <c r="G18" s="26"/>
      <c r="H18" s="26"/>
      <c r="I18" s="26"/>
      <c r="J18" s="22"/>
      <c r="K18" s="22"/>
      <c r="L18" s="22"/>
      <c r="M18" s="22"/>
      <c r="N18" s="22"/>
      <c r="O18" s="22"/>
      <c r="P18" s="23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9.5" customHeight="1" x14ac:dyDescent="0.25">
      <c r="B19" s="19"/>
      <c r="C19" s="40" t="s">
        <v>69</v>
      </c>
      <c r="D19" s="41"/>
      <c r="E19" s="66" t="e">
        <f>VLOOKUP(C10,'Formato descripción HU'!B6:O10,14,0)</f>
        <v>#N/A</v>
      </c>
      <c r="F19" s="67"/>
      <c r="G19" s="67"/>
      <c r="H19" s="67"/>
      <c r="I19" s="67"/>
      <c r="J19" s="67"/>
      <c r="K19" s="67"/>
      <c r="L19" s="67"/>
      <c r="M19" s="67"/>
      <c r="N19" s="67"/>
      <c r="O19" s="68"/>
      <c r="P19" s="23"/>
      <c r="Q19" s="12"/>
    </row>
    <row r="20" spans="1:26" ht="19.5" customHeight="1" x14ac:dyDescent="0.25">
      <c r="B20" s="19"/>
      <c r="C20" s="42"/>
      <c r="D20" s="43"/>
      <c r="E20" s="69"/>
      <c r="F20" s="70"/>
      <c r="G20" s="70"/>
      <c r="H20" s="70"/>
      <c r="I20" s="70"/>
      <c r="J20" s="70"/>
      <c r="K20" s="70"/>
      <c r="L20" s="70"/>
      <c r="M20" s="70"/>
      <c r="N20" s="70"/>
      <c r="O20" s="71"/>
      <c r="P20" s="23"/>
      <c r="Q20" s="12"/>
    </row>
    <row r="21" spans="1:26" ht="9.75" customHeight="1" x14ac:dyDescent="0.25">
      <c r="B21" s="19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3"/>
      <c r="Q21" s="12"/>
    </row>
    <row r="22" spans="1:26" ht="19.5" customHeight="1" x14ac:dyDescent="0.25">
      <c r="A22" s="12"/>
      <c r="B22" s="19"/>
      <c r="C22" s="44" t="s">
        <v>70</v>
      </c>
      <c r="D22" s="41"/>
      <c r="E22" s="47" t="e">
        <f>VLOOKUP(C10,'Formato descripción HU'!B6:O10,12,0)</f>
        <v>#N/A</v>
      </c>
      <c r="F22" s="48"/>
      <c r="G22" s="48"/>
      <c r="H22" s="49"/>
      <c r="I22" s="22"/>
      <c r="J22" s="44" t="s">
        <v>13</v>
      </c>
      <c r="K22" s="41"/>
      <c r="L22" s="61" t="e">
        <f>VLOOKUP(C10,'Formato descripción HU'!B6:O10,13,0)</f>
        <v>#N/A</v>
      </c>
      <c r="M22" s="48"/>
      <c r="N22" s="48"/>
      <c r="O22" s="49"/>
      <c r="P22" s="23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9.5" customHeight="1" x14ac:dyDescent="0.25">
      <c r="A23" s="12"/>
      <c r="B23" s="19"/>
      <c r="C23" s="45"/>
      <c r="D23" s="46"/>
      <c r="E23" s="50"/>
      <c r="F23" s="51"/>
      <c r="G23" s="51"/>
      <c r="H23" s="52"/>
      <c r="I23" s="22"/>
      <c r="J23" s="45"/>
      <c r="K23" s="46"/>
      <c r="L23" s="50"/>
      <c r="M23" s="51"/>
      <c r="N23" s="51"/>
      <c r="O23" s="52"/>
      <c r="P23" s="23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9.5" customHeight="1" x14ac:dyDescent="0.25">
      <c r="A24" s="12"/>
      <c r="B24" s="19"/>
      <c r="C24" s="42"/>
      <c r="D24" s="43"/>
      <c r="E24" s="53"/>
      <c r="F24" s="54"/>
      <c r="G24" s="54"/>
      <c r="H24" s="55"/>
      <c r="I24" s="22"/>
      <c r="J24" s="42"/>
      <c r="K24" s="43"/>
      <c r="L24" s="53"/>
      <c r="M24" s="54"/>
      <c r="N24" s="54"/>
      <c r="O24" s="55"/>
      <c r="P24" s="23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9.75" customHeight="1" x14ac:dyDescent="0.25">
      <c r="A25" s="12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3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9.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9.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9.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9.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9.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9.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9.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9.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9.5" customHeight="1" x14ac:dyDescent="0.25"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26" ht="19.5" customHeight="1" x14ac:dyDescent="0.25"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26" ht="19.5" customHeight="1" x14ac:dyDescent="0.25"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26" ht="19.5" customHeight="1" x14ac:dyDescent="0.25"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26" ht="19.5" customHeight="1" x14ac:dyDescent="0.25"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26" ht="19.5" customHeight="1" x14ac:dyDescent="0.25"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26" ht="19.5" customHeight="1" x14ac:dyDescent="0.25"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26" ht="19.5" customHeight="1" x14ac:dyDescent="0.25"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26" ht="19.5" customHeight="1" x14ac:dyDescent="0.25"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26" ht="19.5" customHeight="1" x14ac:dyDescent="0.25"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26" ht="19.5" customHeight="1" x14ac:dyDescent="0.25"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1:26" ht="19.5" customHeight="1" x14ac:dyDescent="0.25"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1:26" ht="19.5" customHeight="1" x14ac:dyDescent="0.25"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1:26" ht="19.5" customHeight="1" x14ac:dyDescent="0.25"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spans="1:26" ht="19.5" customHeight="1" x14ac:dyDescent="0.25"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spans="3:16" ht="19.5" customHeight="1" x14ac:dyDescent="0.25"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spans="3:16" ht="19.5" customHeight="1" x14ac:dyDescent="0.25"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spans="3:16" ht="19.5" customHeight="1" x14ac:dyDescent="0.25"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spans="3:16" ht="19.5" customHeight="1" x14ac:dyDescent="0.25"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spans="3:16" ht="19.5" customHeight="1" x14ac:dyDescent="0.25"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3:16" ht="19.5" customHeight="1" x14ac:dyDescent="0.25"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3:16" ht="15.75" customHeight="1" x14ac:dyDescent="0.25"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3:16" ht="15.75" customHeight="1" x14ac:dyDescent="0.25"/>
    <row r="57" spans="3:16" ht="15.75" customHeight="1" x14ac:dyDescent="0.25"/>
    <row r="58" spans="3:16" ht="15.75" customHeight="1" x14ac:dyDescent="0.25"/>
    <row r="59" spans="3:16" ht="15.75" customHeight="1" x14ac:dyDescent="0.25"/>
    <row r="60" spans="3:16" ht="15.75" customHeight="1" x14ac:dyDescent="0.25"/>
    <row r="61" spans="3:16" ht="15.75" customHeight="1" x14ac:dyDescent="0.25"/>
    <row r="62" spans="3:16" ht="15.75" customHeight="1" x14ac:dyDescent="0.25"/>
    <row r="63" spans="3:16" ht="15.75" customHeight="1" x14ac:dyDescent="0.25"/>
    <row r="64" spans="3:1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</conditionalFormatting>
  <conditionalFormatting sqref="H10:I11">
    <cfRule type="cellIs" dxfId="2" priority="2" operator="equal">
      <formula>"Terminado"</formula>
    </cfRule>
  </conditionalFormatting>
  <conditionalFormatting sqref="H10:I11">
    <cfRule type="cellIs" dxfId="1" priority="3" operator="equal">
      <formula>"En proceso"</formula>
    </cfRule>
  </conditionalFormatting>
  <conditionalFormatting sqref="H10:I11"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HU'!$B$6:$B$10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DYNABOOK</dc:creator>
  <cp:lastModifiedBy>ABNER DAVID ARBOLEDA ROMAN</cp:lastModifiedBy>
  <dcterms:created xsi:type="dcterms:W3CDTF">2025-11-11T12:29:14Z</dcterms:created>
  <dcterms:modified xsi:type="dcterms:W3CDTF">2026-01-20T22:09:06Z</dcterms:modified>
</cp:coreProperties>
</file>