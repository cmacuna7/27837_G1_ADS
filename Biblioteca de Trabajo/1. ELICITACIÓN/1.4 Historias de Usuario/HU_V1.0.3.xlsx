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/>
  <mc:AlternateContent xmlns:mc="http://schemas.openxmlformats.org/markup-compatibility/2006">
    <mc:Choice Requires="x15">
      <x15ac:absPath xmlns:x15ac="http://schemas.microsoft.com/office/spreadsheetml/2010/11/ac" url="C:\ESPE\Analisis&amp;Diseño\27837_G1_ADS\PREGAME\1. ELICITACIÓN\1.3 Historias de Usuario\"/>
    </mc:Choice>
  </mc:AlternateContent>
  <xr:revisionPtr revIDLastSave="0" documentId="13_ncr:1_{61AF0DBC-27A9-4549-AAFD-2A92B737704B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6" roundtripDataChecksum="zqQjEeih5K8NWczfqLGaZHv5HRqGCKJmm/RpsPz/4HQ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<sst xmlns="http://schemas.openxmlformats.org/spreadsheetml/2006/main" count="53" uniqueCount="46">
  <si>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</si>
  <si>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</si>
  <si>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</si>
  <si>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</si>
  <si>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</si>
  <si>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</si>
  <si>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</si>
  <si>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</si>
  <si>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</si>
  <si>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</si>
  <si>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</si>
  <si>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</si>
  <si>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</si>
  <si>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</si>
  <si>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</si>
  <si>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Usuario adulto mayor / Cuidador</t>
  </si>
  <si>
    <t>No iniciado</t>
  </si>
  <si>
    <t>RF06</t>
  </si>
  <si>
    <t>No hay un registro consolidado del historial de tomas.</t>
  </si>
  <si>
    <t>Registrar eventos (tomado, omitido, pospuesto) y generar informes.</t>
  </si>
  <si>
    <t>Para que el usuario o cuidador puedan visualizar y compartir el historial.</t>
  </si>
  <si>
    <t>Cuidador / Profesional de salud</t>
  </si>
  <si>
    <t>Generar reportes PDF con fecha, hora y motivo de cada acción.</t>
  </si>
  <si>
    <t>Abner Arboleda</t>
  </si>
  <si>
    <t>Media</t>
  </si>
  <si>
    <t>Se genera un PDF y se verifica que todos los eventos estén listados correctamente.</t>
  </si>
  <si>
    <t>Compatible con exportación a Excel.</t>
  </si>
  <si>
    <t>Informes de historial de medicación</t>
  </si>
  <si>
    <t>RF07</t>
  </si>
  <si>
    <t>El usuario no tiene seguimiento de síntomas o efectos secundarios.</t>
  </si>
  <si>
    <t>Registrar síntomas asociados a medicamentos.</t>
  </si>
  <si>
    <t>Para monitorear la evolución del tratamiento y posibles reacciones adversas.</t>
  </si>
  <si>
    <t>Seleccionar medicamento, ingresar tipo, intensidad, frecuencia y notas del síntoma.</t>
  </si>
  <si>
    <t>Christian Bonifaz</t>
  </si>
  <si>
    <t>Se guarda el síntoma y se muestra en el historial asociado al medicamento.</t>
  </si>
  <si>
    <t>Puede incluir íconos o categorías visuales.</t>
  </si>
  <si>
    <t>Seguimiento de síntomas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</si>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</sst>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6" fillId="0" borderId="0" xfId="0" applyFont="1" applyAlignment="1">
      <alignment horizontal="center" vertical="center" wrapText="1"/>
    </xf>
    <xf numFmtId="0" fontId="9" fillId="5" borderId="5" xfId="0" applyFont="1" applyFill="1" applyBorder="1"/>
    <xf numFmtId="0" fontId="6" fillId="5" borderId="6" xfId="0" applyFont="1" applyFill="1" applyBorder="1" applyAlignment="1">
      <alignment horizontal="left" vertical="center" wrapText="1"/>
    </xf>
    <xf numFmtId="0" fontId="7" fillId="5" borderId="6" xfId="0" applyFont="1" applyFill="1" applyBorder="1"/>
    <xf numFmtId="0" fontId="9" fillId="5" borderId="6" xfId="0" applyFont="1" applyFill="1" applyBorder="1"/>
    <xf numFmtId="0" fontId="9" fillId="5" borderId="7" xfId="0" applyFont="1" applyFill="1" applyBorder="1"/>
    <xf numFmtId="0" fontId="9" fillId="5" borderId="8" xfId="0" applyFont="1" applyFill="1" applyBorder="1"/>
    <xf numFmtId="0" fontId="10" fillId="6" borderId="4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9" fillId="5" borderId="9" xfId="0" applyFont="1" applyFill="1" applyBorder="1"/>
    <xf numFmtId="0" fontId="9" fillId="5" borderId="10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 wrapText="1"/>
    </xf>
    <xf numFmtId="0" fontId="7" fillId="5" borderId="9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28" xfId="0" applyFont="1" applyFill="1" applyBorder="1"/>
    <xf numFmtId="0" fontId="9" fillId="5" borderId="29" xfId="0" applyFont="1" applyFill="1" applyBorder="1"/>
    <xf numFmtId="0" fontId="9" fillId="5" borderId="30" xfId="0" applyFont="1" applyFill="1" applyBorder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0" fillId="8" borderId="11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8" xfId="0" applyFont="1" applyBorder="1"/>
    <xf numFmtId="0" fontId="13" fillId="9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9" xfId="0" applyFont="1" applyBorder="1"/>
    <xf numFmtId="0" fontId="3" fillId="0" borderId="20" xfId="0" applyFont="1" applyBorder="1"/>
    <xf numFmtId="0" fontId="10" fillId="6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7" xfId="0" applyFont="1" applyBorder="1"/>
    <xf numFmtId="49" fontId="7" fillId="7" borderId="12" xfId="0" applyNumberFormat="1" applyFont="1" applyFill="1" applyBorder="1" applyAlignment="1">
      <alignment horizontal="left" vertical="center" wrapText="1"/>
    </xf>
    <xf numFmtId="0" fontId="3" fillId="0" borderId="14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6" xfId="0" applyFont="1" applyBorder="1" applyAlignment="1">
      <alignment wrapText="1"/>
    </xf>
    <xf numFmtId="0" fontId="0" fillId="0" borderId="0" xfId="0" applyFont="1" applyAlignment="1">
      <alignment wrapText="1"/>
    </xf>
    <xf numFmtId="0" fontId="3" fillId="0" borderId="17" xfId="0" applyFont="1" applyBorder="1" applyAlignment="1">
      <alignment wrapText="1"/>
    </xf>
    <xf numFmtId="0" fontId="3" fillId="0" borderId="19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7" fillId="7" borderId="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0" fillId="0" borderId="0" xfId="0" applyFont="1" applyAlignment="1"/>
    <xf numFmtId="0" fontId="3" fillId="0" borderId="21" xfId="0" applyFont="1" applyBorder="1"/>
    <xf numFmtId="0" fontId="7" fillId="7" borderId="12" xfId="0" applyFont="1" applyFill="1" applyBorder="1" applyAlignment="1">
      <alignment horizontal="left" vertical="center" wrapText="1"/>
    </xf>
    <xf numFmtId="0" fontId="12" fillId="2" borderId="22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71"/>
  <sheetViews>
    <sheetView showGridLines="0" topLeftCell="A3" zoomScale="70" zoomScaleNormal="70" workbookViewId="0">
      <selection activeCell="G12" sqref="G12"/>
    </sheetView>
  </sheetViews>
  <sheetFormatPr baseColWidth="10" defaultColWidth="12.625" defaultRowHeight="15" customHeight="1" x14ac:dyDescent="0.2"/>
  <cols>
    <col min="1" max="1" width="4.625" customWidth="1"/>
    <col min="2" max="2" width="6.625" customWidth="1"/>
    <col min="3" max="5" width="20.625" customWidth="1"/>
    <col min="6" max="6" width="13.125" customWidth="1"/>
    <col min="7" max="7" width="32.5" customWidth="1"/>
    <col min="8" max="12" width="10.625" customWidth="1"/>
    <col min="13" max="13" width="32.75" customWidth="1"/>
    <col min="14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5.75" customHeight="1" x14ac:dyDescent="0.3">
      <c r="A6" s="1"/>
      <c r="B6" s="5" t="s">
        <v>17</v>
      </c>
      <c r="C6" s="6" t="s">
        <v>18</v>
      </c>
      <c r="D6" s="6" t="s">
        <v>19</v>
      </c>
      <c r="E6" s="6" t="s">
        <v>20</v>
      </c>
      <c r="F6" s="6" t="s">
        <v>21</v>
      </c>
      <c r="G6" s="6" t="s">
        <v>22</v>
      </c>
      <c r="H6" s="6" t="s">
        <v>23</v>
      </c>
      <c r="I6" s="6">
        <v>3</v>
      </c>
      <c r="J6" s="7">
        <v>45984</v>
      </c>
      <c r="K6" s="8" t="s">
        <v>24</v>
      </c>
      <c r="L6" s="6" t="s">
        <v>16</v>
      </c>
      <c r="M6" s="9" t="s">
        <v>25</v>
      </c>
      <c r="N6" s="6" t="s">
        <v>26</v>
      </c>
      <c r="O6" s="6" t="s">
        <v>27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4.5" customHeight="1" x14ac:dyDescent="0.3">
      <c r="A7" s="1"/>
      <c r="B7" s="5" t="s">
        <v>28</v>
      </c>
      <c r="C7" s="6" t="s">
        <v>29</v>
      </c>
      <c r="D7" s="6" t="s">
        <v>30</v>
      </c>
      <c r="E7" s="6" t="s">
        <v>31</v>
      </c>
      <c r="F7" s="6" t="s">
        <v>15</v>
      </c>
      <c r="G7" s="6" t="s">
        <v>32</v>
      </c>
      <c r="H7" s="6" t="s">
        <v>33</v>
      </c>
      <c r="I7" s="6">
        <v>3</v>
      </c>
      <c r="J7" s="7">
        <v>45985</v>
      </c>
      <c r="K7" s="8" t="s">
        <v>24</v>
      </c>
      <c r="L7" s="6" t="s">
        <v>16</v>
      </c>
      <c r="M7" s="9" t="s">
        <v>34</v>
      </c>
      <c r="N7" s="6" t="s">
        <v>35</v>
      </c>
      <c r="O7" s="6" t="s">
        <v>36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3">
      <c r="A8" s="1"/>
      <c r="B8" s="1"/>
      <c r="C8" s="1"/>
      <c r="D8" s="1"/>
      <c r="E8" s="1"/>
      <c r="F8" s="1"/>
      <c r="G8" s="1"/>
      <c r="H8" s="1"/>
      <c r="I8" s="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.5" customHeight="1" x14ac:dyDescent="0.3">
      <c r="A9" s="1"/>
      <c r="B9" s="1"/>
      <c r="C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"/>
      <c r="C10" s="1"/>
      <c r="D10" s="1"/>
      <c r="E10" s="1"/>
      <c r="F10" s="1"/>
      <c r="G10" s="1"/>
      <c r="H10" s="1"/>
      <c r="I10" s="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"/>
      <c r="B11" s="1"/>
      <c r="C11" s="1"/>
      <c r="D11" s="1"/>
      <c r="E11" s="1"/>
      <c r="F11" s="1"/>
      <c r="G11" s="1"/>
      <c r="H11" s="1"/>
      <c r="I11" s="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2"/>
      <c r="J16" s="2"/>
      <c r="K16" s="3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2"/>
      <c r="J17" s="2"/>
      <c r="K17" s="3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2"/>
      <c r="J18" s="2"/>
      <c r="K18" s="3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2"/>
      <c r="J19" s="2"/>
      <c r="K19" s="3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2"/>
      <c r="J20" s="2"/>
      <c r="K20" s="3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2"/>
      <c r="J21" s="2"/>
      <c r="K21" s="3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2"/>
      <c r="J22" s="2"/>
      <c r="K22" s="3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2"/>
      <c r="J23" s="2"/>
      <c r="K23" s="3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2"/>
      <c r="J24" s="2"/>
      <c r="K24" s="3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2"/>
      <c r="J25" s="2"/>
      <c r="K25" s="3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2"/>
      <c r="J26" s="2"/>
      <c r="K26" s="3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2"/>
      <c r="J27" s="2"/>
      <c r="K27" s="3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2"/>
      <c r="J28" s="2"/>
      <c r="K28" s="3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2"/>
      <c r="J29" s="2"/>
      <c r="K29" s="3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2"/>
      <c r="J30" s="2"/>
      <c r="K30" s="3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2"/>
      <c r="J31" s="2"/>
      <c r="K31" s="3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2"/>
      <c r="J32" s="2"/>
      <c r="K32" s="3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2"/>
      <c r="J33" s="2"/>
      <c r="K33" s="3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2"/>
      <c r="J34" s="2"/>
      <c r="K34" s="3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2"/>
      <c r="J35" s="2"/>
      <c r="K35" s="3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2"/>
      <c r="J36" s="2"/>
      <c r="K36" s="3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2"/>
      <c r="J37" s="2"/>
      <c r="K37" s="3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2"/>
      <c r="J38" s="2"/>
      <c r="K38" s="3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2"/>
      <c r="J39" s="2"/>
      <c r="K39" s="3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2"/>
      <c r="J40" s="2"/>
      <c r="K40" s="3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1">
    <mergeCell ref="B3:O3"/>
  </mergeCells>
  <conditionalFormatting sqref="L12:L15 L6:L7">
    <cfRule type="colorScale" priority="1">
      <colorScale>
        <cfvo type="min"/>
        <cfvo type="max"/>
        <color rgb="FF57BB8A"/>
        <color rgb="FFFFFFFF"/>
      </colorScale>
    </cfRule>
  </conditionalFormatting>
  <conditionalFormatting sqref="L7">
    <cfRule type="colorScale" priority="3">
      <colorScale>
        <cfvo type="min"/>
        <cfvo type="max"/>
        <color rgb="FF57BB8A"/>
        <color rgb="FFFFFFFF"/>
      </colorScale>
    </cfRule>
  </conditionalFormatting>
  <dataValidations count="1">
    <dataValidation type="list" allowBlank="1" showErrorMessage="1" sqref="K6:L7" xr:uid="{00000000-0002-0000-0000-000000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00"/>
  <sheetViews>
    <sheetView showGridLines="0" tabSelected="1" workbookViewId="0">
      <selection activeCell="D10" sqref="D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0"/>
      <c r="D4" s="10"/>
      <c r="E4" s="10"/>
      <c r="F4" s="11"/>
    </row>
    <row r="5" spans="1:26" hidden="1" x14ac:dyDescent="0.25">
      <c r="C5" s="10"/>
      <c r="D5" s="10"/>
      <c r="E5" s="10"/>
      <c r="F5" s="11"/>
    </row>
    <row r="6" spans="1:26" ht="39.75" customHeight="1" x14ac:dyDescent="0.2">
      <c r="B6" s="56" t="s">
        <v>37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6"/>
    </row>
    <row r="7" spans="1:26" ht="9.75" customHeight="1" x14ac:dyDescent="0.2">
      <c r="A7" s="12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9.75" customHeight="1" x14ac:dyDescent="0.25">
      <c r="B8" s="14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8"/>
      <c r="Q8" s="12"/>
    </row>
    <row r="9" spans="1:26" ht="30" customHeight="1" x14ac:dyDescent="0.2">
      <c r="B9" s="19"/>
      <c r="C9" s="20" t="s">
        <v>1</v>
      </c>
      <c r="D9" s="21"/>
      <c r="E9" s="57" t="s">
        <v>38</v>
      </c>
      <c r="F9" s="36"/>
      <c r="G9" s="21"/>
      <c r="H9" s="57" t="s">
        <v>11</v>
      </c>
      <c r="I9" s="36"/>
      <c r="J9" s="22"/>
      <c r="K9" s="22"/>
      <c r="L9" s="22"/>
      <c r="M9" s="22"/>
      <c r="N9" s="22"/>
      <c r="O9" s="22"/>
      <c r="P9" s="23"/>
      <c r="Q9" s="12"/>
    </row>
    <row r="10" spans="1:26" ht="30" customHeight="1" x14ac:dyDescent="0.2">
      <c r="B10" s="19"/>
      <c r="C10" s="24" t="s">
        <v>28</v>
      </c>
      <c r="D10" s="25"/>
      <c r="E10" s="58" t="str">
        <f>VLOOKUP(C10,'Formato descripción HU'!B6:O7,5,0)</f>
        <v>Usuario adulto mayor / Cuidador</v>
      </c>
      <c r="F10" s="59"/>
      <c r="G10" s="26"/>
      <c r="H10" s="60" t="str">
        <f>VLOOKUP(C10,'Formato descripción HU'!B6:O7,11,0)</f>
        <v>No iniciado</v>
      </c>
      <c r="I10" s="36"/>
      <c r="J10" s="26"/>
      <c r="K10" s="22"/>
      <c r="L10" s="22"/>
      <c r="M10" s="22"/>
      <c r="N10" s="22"/>
      <c r="O10" s="22"/>
      <c r="P10" s="23"/>
      <c r="Q10" s="12"/>
    </row>
    <row r="11" spans="1:26" ht="9.75" customHeight="1" x14ac:dyDescent="0.2">
      <c r="A11" s="12"/>
      <c r="B11" s="19"/>
      <c r="C11" s="27"/>
      <c r="D11" s="25"/>
      <c r="E11" s="28"/>
      <c r="F11" s="28"/>
      <c r="G11" s="26"/>
      <c r="H11" s="28"/>
      <c r="I11" s="28"/>
      <c r="J11" s="26"/>
      <c r="K11" s="28"/>
      <c r="L11" s="28"/>
      <c r="M11" s="22"/>
      <c r="N11" s="28"/>
      <c r="O11" s="28"/>
      <c r="P11" s="23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0" customHeight="1" x14ac:dyDescent="0.2">
      <c r="A12" s="12"/>
      <c r="B12" s="19"/>
      <c r="C12" s="20" t="s">
        <v>39</v>
      </c>
      <c r="D12" s="25"/>
      <c r="E12" s="57" t="s">
        <v>10</v>
      </c>
      <c r="F12" s="36"/>
      <c r="G12" s="26"/>
      <c r="H12" s="57" t="s">
        <v>40</v>
      </c>
      <c r="I12" s="36"/>
      <c r="J12" s="26"/>
      <c r="K12" s="28"/>
      <c r="L12" s="28"/>
      <c r="M12" s="22"/>
      <c r="N12" s="28"/>
      <c r="O12" s="28"/>
      <c r="P12" s="23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0" customHeight="1" x14ac:dyDescent="0.2">
      <c r="A13" s="12"/>
      <c r="B13" s="19"/>
      <c r="C13" s="29">
        <f>VLOOKUP('Historia de Usuario'!C10,'Formato descripción HU'!B6:O7,8,0)</f>
        <v>3</v>
      </c>
      <c r="D13" s="25"/>
      <c r="E13" s="60" t="str">
        <f>VLOOKUP(C10,'Formato descripción HU'!B6:O7,10,0)</f>
        <v>Media</v>
      </c>
      <c r="F13" s="36"/>
      <c r="G13" s="26"/>
      <c r="H13" s="60" t="str">
        <f>VLOOKUP(C10,'Formato descripción HU'!B6:O7,7,0)</f>
        <v>Christian Bonifaz</v>
      </c>
      <c r="I13" s="36"/>
      <c r="J13" s="26"/>
      <c r="K13" s="28"/>
      <c r="L13" s="28"/>
      <c r="M13" s="22"/>
      <c r="N13" s="28"/>
      <c r="O13" s="28"/>
      <c r="P13" s="23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9.75" customHeight="1" x14ac:dyDescent="0.2">
      <c r="A14" s="12"/>
      <c r="B14" s="19"/>
      <c r="C14" s="22"/>
      <c r="D14" s="25"/>
      <c r="E14" s="22"/>
      <c r="F14" s="22"/>
      <c r="G14" s="26"/>
      <c r="H14" s="26"/>
      <c r="I14" s="22"/>
      <c r="J14" s="22"/>
      <c r="K14" s="22"/>
      <c r="L14" s="22"/>
      <c r="M14" s="22"/>
      <c r="N14" s="22"/>
      <c r="O14" s="22"/>
      <c r="P14" s="23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9.5" customHeight="1" x14ac:dyDescent="0.2">
      <c r="A15" s="12"/>
      <c r="B15" s="19"/>
      <c r="C15" s="37" t="s">
        <v>41</v>
      </c>
      <c r="D15" s="61" t="str">
        <f>VLOOKUP(C10,'Formato descripción HU'!B6:O7,3,0)</f>
        <v>Registrar síntomas asociados a medicamentos.</v>
      </c>
      <c r="E15" s="41"/>
      <c r="F15" s="30"/>
      <c r="G15" s="37" t="s">
        <v>42</v>
      </c>
      <c r="H15" s="61" t="str">
        <f>VLOOKUP(C10,'Formato descripción HU'!B6:O7,4,0)</f>
        <v>Para monitorear la evolución del tratamiento y posibles reacciones adversas.</v>
      </c>
      <c r="I15" s="62"/>
      <c r="J15" s="41"/>
      <c r="K15" s="30"/>
      <c r="L15" s="37" t="s">
        <v>43</v>
      </c>
      <c r="M15" s="65" t="str">
        <f>VLOOKUP(C10,'Formato descripción HU'!B6:O7,6,0)</f>
        <v>Seleccionar medicamento, ingresar tipo, intensidad, frecuencia y notas del síntoma.</v>
      </c>
      <c r="N15" s="48"/>
      <c r="O15" s="49"/>
      <c r="P15" s="23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9.5" customHeight="1" x14ac:dyDescent="0.2">
      <c r="A16" s="12"/>
      <c r="B16" s="19"/>
      <c r="C16" s="38"/>
      <c r="D16" s="45"/>
      <c r="E16" s="46"/>
      <c r="F16" s="30"/>
      <c r="G16" s="38"/>
      <c r="H16" s="45"/>
      <c r="I16" s="63"/>
      <c r="J16" s="46"/>
      <c r="K16" s="30"/>
      <c r="L16" s="38"/>
      <c r="M16" s="50"/>
      <c r="N16" s="51"/>
      <c r="O16" s="52"/>
      <c r="P16" s="23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9.5" customHeight="1" x14ac:dyDescent="0.2">
      <c r="A17" s="12"/>
      <c r="B17" s="19"/>
      <c r="C17" s="39"/>
      <c r="D17" s="42"/>
      <c r="E17" s="43"/>
      <c r="F17" s="30"/>
      <c r="G17" s="39"/>
      <c r="H17" s="42"/>
      <c r="I17" s="64"/>
      <c r="J17" s="43"/>
      <c r="K17" s="30"/>
      <c r="L17" s="39"/>
      <c r="M17" s="53"/>
      <c r="N17" s="54"/>
      <c r="O17" s="55"/>
      <c r="P17" s="23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9.75" customHeight="1" x14ac:dyDescent="0.2">
      <c r="A18" s="12"/>
      <c r="B18" s="19"/>
      <c r="C18" s="22"/>
      <c r="D18" s="22"/>
      <c r="E18" s="22"/>
      <c r="F18" s="22"/>
      <c r="G18" s="26"/>
      <c r="H18" s="26"/>
      <c r="I18" s="26"/>
      <c r="J18" s="22"/>
      <c r="K18" s="22"/>
      <c r="L18" s="22"/>
      <c r="M18" s="22"/>
      <c r="N18" s="22"/>
      <c r="O18" s="22"/>
      <c r="P18" s="23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9.5" customHeight="1" x14ac:dyDescent="0.2">
      <c r="B19" s="19"/>
      <c r="C19" s="40" t="s">
        <v>44</v>
      </c>
      <c r="D19" s="41"/>
      <c r="E19" s="66" t="str">
        <f>VLOOKUP(C10,'Formato descripción HU'!B6:O7,14,0)</f>
        <v>Seguimiento de síntomas</v>
      </c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23"/>
      <c r="Q19" s="12"/>
    </row>
    <row r="20" spans="1:26" ht="19.5" customHeight="1" x14ac:dyDescent="0.2">
      <c r="B20" s="19"/>
      <c r="C20" s="42"/>
      <c r="D20" s="43"/>
      <c r="E20" s="69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23"/>
      <c r="Q20" s="12"/>
    </row>
    <row r="21" spans="1:26" ht="9.75" customHeight="1" x14ac:dyDescent="0.2">
      <c r="B21" s="19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2"/>
    </row>
    <row r="22" spans="1:26" ht="19.5" customHeight="1" x14ac:dyDescent="0.2">
      <c r="A22" s="12"/>
      <c r="B22" s="19"/>
      <c r="C22" s="44" t="s">
        <v>45</v>
      </c>
      <c r="D22" s="41"/>
      <c r="E22" s="47" t="str">
        <f>VLOOKUP(C10,'Formato descripción HU'!B6:O7,12,0)</f>
        <v>Se guarda el síntoma y se muestra en el historial asociado al medicamento.</v>
      </c>
      <c r="F22" s="48"/>
      <c r="G22" s="48"/>
      <c r="H22" s="49"/>
      <c r="I22" s="22"/>
      <c r="J22" s="44" t="s">
        <v>13</v>
      </c>
      <c r="K22" s="41"/>
      <c r="L22" s="61" t="str">
        <f>VLOOKUP(C10,'Formato descripción HU'!B6:O7,13,0)</f>
        <v>Puede incluir íconos o categorías visuales.</v>
      </c>
      <c r="M22" s="48"/>
      <c r="N22" s="48"/>
      <c r="O22" s="49"/>
      <c r="P22" s="23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9.5" customHeight="1" x14ac:dyDescent="0.2">
      <c r="A23" s="12"/>
      <c r="B23" s="19"/>
      <c r="C23" s="45"/>
      <c r="D23" s="46"/>
      <c r="E23" s="50"/>
      <c r="F23" s="51"/>
      <c r="G23" s="51"/>
      <c r="H23" s="52"/>
      <c r="I23" s="22"/>
      <c r="J23" s="45"/>
      <c r="K23" s="46"/>
      <c r="L23" s="50"/>
      <c r="M23" s="51"/>
      <c r="N23" s="51"/>
      <c r="O23" s="52"/>
      <c r="P23" s="23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9.5" customHeight="1" x14ac:dyDescent="0.2">
      <c r="A24" s="12"/>
      <c r="B24" s="19"/>
      <c r="C24" s="42"/>
      <c r="D24" s="43"/>
      <c r="E24" s="53"/>
      <c r="F24" s="54"/>
      <c r="G24" s="54"/>
      <c r="H24" s="55"/>
      <c r="I24" s="22"/>
      <c r="J24" s="42"/>
      <c r="K24" s="43"/>
      <c r="L24" s="53"/>
      <c r="M24" s="54"/>
      <c r="N24" s="54"/>
      <c r="O24" s="55"/>
      <c r="P24" s="23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9.75" customHeight="1" x14ac:dyDescent="0.2">
      <c r="A25" s="12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9.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9.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9.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9.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9.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9.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9.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9.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9.5" customHeight="1" x14ac:dyDescent="0.2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26" ht="19.5" customHeight="1" x14ac:dyDescent="0.2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26" ht="19.5" customHeight="1" x14ac:dyDescent="0.2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26" ht="19.5" customHeight="1" x14ac:dyDescent="0.2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26" ht="19.5" customHeight="1" x14ac:dyDescent="0.2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26" ht="19.5" customHeight="1" x14ac:dyDescent="0.2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26" ht="19.5" customHeight="1" x14ac:dyDescent="0.2"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26" ht="19.5" customHeight="1" x14ac:dyDescent="0.2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26" ht="19.5" customHeight="1" x14ac:dyDescent="0.2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26" ht="19.5" customHeight="1" x14ac:dyDescent="0.2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26" ht="19.5" customHeight="1" x14ac:dyDescent="0.2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26" ht="19.5" customHeight="1" x14ac:dyDescent="0.2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26" ht="19.5" customHeight="1" x14ac:dyDescent="0.2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26" ht="19.5" customHeight="1" x14ac:dyDescent="0.2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26" ht="19.5" customHeight="1" x14ac:dyDescent="0.2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3:16" ht="19.5" customHeight="1" x14ac:dyDescent="0.2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3:16" ht="19.5" customHeight="1" x14ac:dyDescent="0.2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3:16" ht="19.5" customHeight="1" x14ac:dyDescent="0.2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3:16" ht="19.5" customHeight="1" x14ac:dyDescent="0.2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3:16" ht="19.5" customHeight="1" x14ac:dyDescent="0.2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3:16" ht="19.5" customHeight="1" x14ac:dyDescent="0.2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3:16" ht="15.75" customHeight="1" x14ac:dyDescent="0.2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3:16" ht="15.75" customHeight="1" x14ac:dyDescent="0.2"/>
    <row r="57" spans="3:16" ht="15.75" customHeight="1" x14ac:dyDescent="0.2"/>
    <row r="58" spans="3:16" ht="15.75" customHeight="1" x14ac:dyDescent="0.2"/>
    <row r="59" spans="3:16" ht="15.75" customHeight="1" x14ac:dyDescent="0.2"/>
    <row r="60" spans="3:16" ht="15.75" customHeight="1" x14ac:dyDescent="0.2"/>
    <row r="61" spans="3:16" ht="15.75" customHeight="1" x14ac:dyDescent="0.2"/>
    <row r="62" spans="3:16" ht="15.75" customHeight="1" x14ac:dyDescent="0.2"/>
    <row r="63" spans="3:16" ht="15.75" customHeight="1" x14ac:dyDescent="0.2"/>
    <row r="64" spans="3:1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</conditionalFormatting>
  <conditionalFormatting sqref="H10:I11">
    <cfRule type="cellIs" dxfId="2" priority="2" operator="equal">
      <formula>"Terminado"</formula>
    </cfRule>
  </conditionalFormatting>
  <conditionalFormatting sqref="H10:I11">
    <cfRule type="cellIs" dxfId="1" priority="3" operator="equal">
      <formula>"En proceso"</formula>
    </cfRule>
  </conditionalFormatting>
  <conditionalFormatting sqref="H10:I11"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HU'!$B$6:$B$7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DYNABOOK</dc:creator>
  <cp:lastModifiedBy>cmacuna@espe.edu.ec</cp:lastModifiedBy>
  <dcterms:created xsi:type="dcterms:W3CDTF">2025-11-11T12:29:14Z</dcterms:created>
  <dcterms:modified xsi:type="dcterms:W3CDTF">2026-01-05T20:58:13Z</dcterms:modified>
</cp:coreProperties>
</file>